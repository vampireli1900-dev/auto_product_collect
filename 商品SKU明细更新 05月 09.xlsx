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mc:AlternateContent xmlns:mc="http://schemas.openxmlformats.org/markup-compatibility/2006">
    <mc:Choice Requires="x15">
      <x15ac:absPath xmlns:x15ac="http://schemas.microsoft.com/office/spreadsheetml/2010/11/ac" url="/Users/vincentli/Desktop/数据录入/pdd/0509/"/>
    </mc:Choice>
  </mc:AlternateContent>
  <xr:revisionPtr revIDLastSave="0" documentId="13_ncr:1_{C5203F97-09A5-DC4A-8A45-348BCC24AB37}" xr6:coauthVersionLast="47" xr6:coauthVersionMax="47" xr10:uidLastSave="{00000000-0000-0000-0000-000000000000}"/>
  <bookViews>
    <workbookView xWindow="20600" yWindow="1680" windowWidth="24800" windowHeight="22840" xr2:uid="{00000000-000D-0000-FFFF-FFFF00000000}"/>
  </bookViews>
  <sheets>
    <sheet name="单支" sheetId="1" r:id="rId1"/>
    <sheet name="组套" sheetId="2" r:id="rId2"/>
  </sheets>
  <definedNames>
    <definedName name="_xlnm._FilterDatabase" localSheetId="0">单支!$C$1:$J$420</definedName>
    <definedName name="_xlnm._FilterDatabase" localSheetId="1" hidden="1">组套!$C$1:$G$58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9" i="1" l="1"/>
  <c r="H167" i="1"/>
  <c r="H149" i="1"/>
  <c r="H148" i="1"/>
  <c r="H320" i="1"/>
  <c r="H45" i="1"/>
  <c r="H32" i="1"/>
  <c r="F58" i="2"/>
  <c r="E58" i="2" s="1"/>
  <c r="F57" i="2"/>
  <c r="E57" i="2" s="1"/>
  <c r="F56" i="2"/>
  <c r="E56" i="2" s="1"/>
  <c r="F55" i="2"/>
  <c r="E55" i="2" s="1"/>
  <c r="F54" i="2"/>
  <c r="E54" i="2" s="1"/>
  <c r="F53" i="2"/>
  <c r="E53" i="2" s="1"/>
  <c r="F52" i="2"/>
  <c r="E52" i="2" s="1"/>
  <c r="F51" i="2"/>
  <c r="E51" i="2" s="1"/>
  <c r="F50" i="2"/>
  <c r="E50" i="2" s="1"/>
  <c r="F49" i="2"/>
  <c r="H69" i="1"/>
  <c r="H330" i="1"/>
  <c r="H62" i="1"/>
  <c r="H368" i="1"/>
  <c r="H22" i="1"/>
  <c r="H24" i="1"/>
  <c r="E49" i="2"/>
  <c r="H78" i="1"/>
  <c r="H77" i="1"/>
  <c r="H66" i="1"/>
  <c r="H195" i="1"/>
  <c r="H92" i="1"/>
  <c r="H60" i="1"/>
  <c r="H59" i="1"/>
  <c r="H52" i="1"/>
  <c r="H359" i="1"/>
  <c r="H318" i="1"/>
  <c r="H25" i="1"/>
  <c r="H19" i="1"/>
  <c r="H310" i="1"/>
  <c r="H269" i="1"/>
  <c r="I48" i="2"/>
  <c r="H209" i="1"/>
  <c r="H285" i="1"/>
  <c r="H193" i="1"/>
  <c r="H95" i="1"/>
  <c r="H89" i="1"/>
  <c r="H88" i="1"/>
  <c r="H347" i="1"/>
  <c r="H28" i="1"/>
  <c r="H225" i="1"/>
  <c r="H187" i="1"/>
  <c r="H137" i="1"/>
  <c r="H293" i="1"/>
  <c r="H34" i="1"/>
  <c r="H341" i="1"/>
  <c r="H352" i="1"/>
  <c r="H354" i="1"/>
  <c r="H223" i="1"/>
  <c r="H186" i="1"/>
  <c r="H175" i="1"/>
  <c r="H326" i="1"/>
  <c r="H154" i="1"/>
  <c r="H366" i="1"/>
  <c r="H49" i="1"/>
  <c r="H35" i="1"/>
  <c r="H23" i="1"/>
  <c r="H224" i="1"/>
  <c r="H291" i="1"/>
  <c r="H180" i="1"/>
  <c r="H174" i="1"/>
  <c r="H102" i="1"/>
  <c r="H233" i="1"/>
  <c r="H98" i="1"/>
  <c r="H335" i="1"/>
  <c r="H53" i="1"/>
  <c r="H351" i="1"/>
  <c r="H277" i="1"/>
  <c r="H183" i="1"/>
  <c r="H152" i="1"/>
  <c r="H153" i="1"/>
  <c r="H304" i="1"/>
  <c r="H85" i="1"/>
  <c r="H231" i="1"/>
  <c r="H50" i="1"/>
  <c r="H48" i="1"/>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H226" i="1"/>
  <c r="H222" i="1"/>
  <c r="H221" i="1"/>
  <c r="H220" i="1"/>
  <c r="H219" i="1"/>
  <c r="H218" i="1"/>
  <c r="H217" i="1"/>
  <c r="H216" i="1"/>
  <c r="H215" i="1"/>
  <c r="H214" i="1"/>
  <c r="H338" i="1"/>
  <c r="H213" i="1"/>
  <c r="H212" i="1"/>
  <c r="H211" i="1"/>
  <c r="H210" i="1"/>
  <c r="H208" i="1"/>
  <c r="H281" i="1"/>
  <c r="H282" i="1"/>
  <c r="H279" i="1"/>
  <c r="H283" i="1"/>
  <c r="H280" i="1"/>
  <c r="H324" i="1"/>
  <c r="H275" i="1"/>
  <c r="H273" i="1"/>
  <c r="H272" i="1"/>
  <c r="H244" i="1"/>
  <c r="H270" i="1"/>
  <c r="H241" i="1"/>
  <c r="H262" i="1"/>
  <c r="H254" i="1"/>
  <c r="H245" i="1"/>
  <c r="H267" i="1"/>
  <c r="H242" i="1"/>
  <c r="H207" i="1"/>
  <c r="H206" i="1"/>
  <c r="H205" i="1"/>
  <c r="H204" i="1"/>
  <c r="H203" i="1"/>
  <c r="H278" i="1"/>
  <c r="H202" i="1"/>
  <c r="H201" i="1"/>
  <c r="H332" i="1"/>
  <c r="H200" i="1"/>
  <c r="H199" i="1"/>
  <c r="H198" i="1"/>
  <c r="H289" i="1"/>
  <c r="H197" i="1"/>
  <c r="H286" i="1"/>
  <c r="H284" i="1"/>
  <c r="H287" i="1"/>
  <c r="H288" i="1"/>
  <c r="H196" i="1"/>
  <c r="H290" i="1"/>
  <c r="H194" i="1"/>
  <c r="H331" i="1"/>
  <c r="H328" i="1"/>
  <c r="H325" i="1"/>
  <c r="H316" i="1"/>
  <c r="H315" i="1"/>
  <c r="H314" i="1"/>
  <c r="H337" i="1"/>
  <c r="H192" i="1"/>
  <c r="H191" i="1"/>
  <c r="H190" i="1"/>
  <c r="H306" i="1"/>
  <c r="H307" i="1"/>
  <c r="H189" i="1"/>
  <c r="H188" i="1"/>
  <c r="H185" i="1"/>
  <c r="H184" i="1"/>
  <c r="H182" i="1"/>
  <c r="H181" i="1"/>
  <c r="H237" i="1"/>
  <c r="H236" i="1"/>
  <c r="H238" i="1"/>
  <c r="H250" i="1"/>
  <c r="H243" i="1"/>
  <c r="H246" i="1"/>
  <c r="H240" i="1"/>
  <c r="H239" i="1"/>
  <c r="H247" i="1"/>
  <c r="H178" i="1"/>
  <c r="H340" i="1"/>
  <c r="H177" i="1"/>
  <c r="H176" i="1"/>
  <c r="H336" i="1"/>
  <c r="H232" i="1"/>
  <c r="H173" i="1"/>
  <c r="H172" i="1"/>
  <c r="H171" i="1"/>
  <c r="H317" i="1"/>
  <c r="H170" i="1"/>
  <c r="H169" i="1"/>
  <c r="H166" i="1"/>
  <c r="H165" i="1"/>
  <c r="H327" i="1"/>
  <c r="H168" i="1"/>
  <c r="H164" i="1"/>
  <c r="H163" i="1"/>
  <c r="H162" i="1"/>
  <c r="H161" i="1"/>
  <c r="H160" i="1"/>
  <c r="H159" i="1"/>
  <c r="H158" i="1"/>
  <c r="H157" i="1"/>
  <c r="H156" i="1"/>
  <c r="H155" i="1"/>
  <c r="H151" i="1"/>
  <c r="H147" i="1"/>
  <c r="H146" i="1"/>
  <c r="H145" i="1"/>
  <c r="H144" i="1"/>
  <c r="H143" i="1"/>
  <c r="H142" i="1"/>
  <c r="H141" i="1"/>
  <c r="H140" i="1"/>
  <c r="H139" i="1"/>
  <c r="H138" i="1"/>
  <c r="H136" i="1"/>
  <c r="H135" i="1"/>
  <c r="H134" i="1"/>
  <c r="H133" i="1"/>
  <c r="H132" i="1"/>
  <c r="H301" i="1"/>
  <c r="H302" i="1"/>
  <c r="H305" i="1"/>
  <c r="H303" i="1"/>
  <c r="H131" i="1"/>
  <c r="H329" i="1"/>
  <c r="H346" i="1"/>
  <c r="H130" i="1"/>
  <c r="H129" i="1"/>
  <c r="H128" i="1"/>
  <c r="H127" i="1"/>
  <c r="H126" i="1"/>
  <c r="H125" i="1"/>
  <c r="H124" i="1"/>
  <c r="H123" i="1"/>
  <c r="H122" i="1"/>
  <c r="H121" i="1"/>
  <c r="H120" i="1"/>
  <c r="H119" i="1"/>
  <c r="H118" i="1"/>
  <c r="H117" i="1"/>
  <c r="H365" i="1"/>
  <c r="H313" i="1"/>
  <c r="H116" i="1"/>
  <c r="H115" i="1"/>
  <c r="H114" i="1"/>
  <c r="H113" i="1"/>
  <c r="H112" i="1"/>
  <c r="H111" i="1"/>
  <c r="H110" i="1"/>
  <c r="H109" i="1"/>
  <c r="H108" i="1"/>
  <c r="H107" i="1"/>
  <c r="H106" i="1"/>
  <c r="H105" i="1"/>
  <c r="H309" i="1"/>
  <c r="H104" i="1"/>
  <c r="H257" i="1"/>
  <c r="H256" i="1"/>
  <c r="H263" i="1"/>
  <c r="H268" i="1"/>
  <c r="H265" i="1"/>
  <c r="H253" i="1"/>
  <c r="H258" i="1"/>
  <c r="H249" i="1"/>
  <c r="H103" i="1"/>
  <c r="H101" i="1"/>
  <c r="H100" i="1"/>
  <c r="H99" i="1"/>
  <c r="H97" i="1"/>
  <c r="H96" i="1"/>
  <c r="H342" i="1"/>
  <c r="H300" i="1"/>
  <c r="H94" i="1"/>
  <c r="H93" i="1"/>
  <c r="H294" i="1"/>
  <c r="H292" i="1"/>
  <c r="H298" i="1"/>
  <c r="H91" i="1"/>
  <c r="H90" i="1"/>
  <c r="H79" i="1"/>
  <c r="H87" i="1"/>
  <c r="H86" i="1"/>
  <c r="H84" i="1"/>
  <c r="H83" i="1"/>
  <c r="H82" i="1"/>
  <c r="H81" i="1"/>
  <c r="H80" i="1"/>
  <c r="H76" i="1"/>
  <c r="H75" i="1"/>
  <c r="H299" i="1"/>
  <c r="H74" i="1"/>
  <c r="H295" i="1"/>
  <c r="H323" i="1"/>
  <c r="H73" i="1"/>
  <c r="H72" i="1"/>
  <c r="H71" i="1"/>
  <c r="H70" i="1"/>
  <c r="H68" i="1"/>
  <c r="H67" i="1"/>
  <c r="H339" i="1"/>
  <c r="H228" i="1"/>
  <c r="H229" i="1"/>
  <c r="H65" i="1"/>
  <c r="H64" i="1"/>
  <c r="H63" i="1"/>
  <c r="H227" i="1"/>
  <c r="H230" i="1"/>
  <c r="H61" i="1"/>
  <c r="H58" i="1"/>
  <c r="H57" i="1"/>
  <c r="H333" i="1"/>
  <c r="H334" i="1"/>
  <c r="H56" i="1"/>
  <c r="H55" i="1"/>
  <c r="H54" i="1"/>
  <c r="H51" i="1"/>
  <c r="H47" i="1"/>
  <c r="H46" i="1"/>
  <c r="H44" i="1"/>
  <c r="H367" i="1"/>
  <c r="H43" i="1"/>
  <c r="H42" i="1"/>
  <c r="H41" i="1"/>
  <c r="H40" i="1"/>
  <c r="H39" i="1"/>
  <c r="H38" i="1"/>
  <c r="H37" i="1"/>
  <c r="H36" i="1"/>
  <c r="H362" i="1"/>
  <c r="H361" i="1"/>
  <c r="H360" i="1"/>
  <c r="H370" i="1"/>
  <c r="H358" i="1"/>
  <c r="H369" i="1"/>
  <c r="H363" i="1"/>
  <c r="H33" i="1"/>
  <c r="H31" i="1"/>
  <c r="H322" i="1"/>
  <c r="H319" i="1"/>
  <c r="H321" i="1"/>
  <c r="H29" i="1"/>
  <c r="H276" i="1"/>
  <c r="H30" i="1"/>
  <c r="H27" i="1"/>
  <c r="H234" i="1"/>
  <c r="H26" i="1"/>
  <c r="H16" i="1"/>
  <c r="H21" i="1"/>
  <c r="H364" i="1"/>
  <c r="H20" i="1"/>
  <c r="H18" i="1"/>
  <c r="H17" i="1"/>
  <c r="H15" i="1"/>
  <c r="H14" i="1"/>
  <c r="H13" i="1"/>
  <c r="H12" i="1"/>
  <c r="H11" i="1"/>
  <c r="H248" i="1"/>
  <c r="H251" i="1"/>
  <c r="H252" i="1"/>
  <c r="H259" i="1"/>
  <c r="H266" i="1"/>
  <c r="H10" i="1"/>
  <c r="H9" i="1"/>
  <c r="H8" i="1"/>
  <c r="H345" i="1"/>
  <c r="H344" i="1"/>
  <c r="H343" i="1"/>
  <c r="H7" i="1"/>
  <c r="H355" i="1"/>
  <c r="H235" i="1"/>
  <c r="H356" i="1"/>
  <c r="H357" i="1"/>
  <c r="H353" i="1"/>
  <c r="H349" i="1"/>
  <c r="H350" i="1"/>
  <c r="H312" i="1"/>
  <c r="H261" i="1"/>
  <c r="H3" i="1"/>
  <c r="H5" i="1"/>
  <c r="H4" i="1"/>
  <c r="H311" i="1"/>
  <c r="H348" i="1"/>
  <c r="H2" i="1"/>
  <c r="H297" i="1"/>
  <c r="H296" i="1"/>
  <c r="H264" i="1"/>
  <c r="H255" i="1"/>
  <c r="H260" i="1"/>
  <c r="H274" i="1"/>
  <c r="H271" i="1"/>
</calcChain>
</file>

<file path=xl/sharedStrings.xml><?xml version="1.0" encoding="utf-8"?>
<sst xmlns="http://schemas.openxmlformats.org/spreadsheetml/2006/main" count="2206" uniqueCount="1443">
  <si>
    <t>商品条码</t>
  </si>
  <si>
    <t>货品名称</t>
  </si>
  <si>
    <t>关键词</t>
  </si>
  <si>
    <t>生产日期</t>
  </si>
  <si>
    <t>失效日期</t>
  </si>
  <si>
    <t>价格</t>
  </si>
  <si>
    <t>是否百亿补贴产品</t>
  </si>
  <si>
    <t>序号</t>
  </si>
  <si>
    <t>备注</t>
  </si>
  <si>
    <t>没有符合条件的商品</t>
  </si>
  <si>
    <t>否</t>
  </si>
  <si>
    <t>031655644295</t>
  </si>
  <si>
    <t>CK Man男士香水 50ml EDT</t>
  </si>
  <si>
    <t>CK男士香水50ml</t>
  </si>
  <si>
    <t>3607340213267</t>
  </si>
  <si>
    <t>CK 绝色美丽女士香水 100ml EDP 黄色</t>
  </si>
  <si>
    <t>CK绝色美丽女士香水100ml</t>
  </si>
  <si>
    <t>CPB防晒霜50g</t>
  </si>
  <si>
    <t>CPB防晒霜50</t>
  </si>
  <si>
    <t>729238171657</t>
  </si>
  <si>
    <t>CPB肌肤之钥清爽洁面125ML</t>
  </si>
  <si>
    <t>CPB清爽洁面125ML</t>
  </si>
  <si>
    <t>729238181786</t>
  </si>
  <si>
    <t>CPB美白短管隔离30ml</t>
  </si>
  <si>
    <t>CPB长管隔离38ml 清爽</t>
  </si>
  <si>
    <t>CPB长管隔离38 清爽</t>
  </si>
  <si>
    <t>729238161825</t>
  </si>
  <si>
    <t>CPB长管隔离新款37ml滋润</t>
  </si>
  <si>
    <t>cpb长管隔离37 滋润</t>
  </si>
  <si>
    <t>729923811640</t>
  </si>
  <si>
    <t>CPB滋润洁面125ml</t>
  </si>
  <si>
    <t>CPB滋润洗面奶125ml</t>
  </si>
  <si>
    <t>3350900000011</t>
  </si>
  <si>
    <t>Embryolisse 大宝妆前乳75ml 法国进口</t>
  </si>
  <si>
    <t>法国大宝妆前乳75</t>
  </si>
  <si>
    <t>FERRERO ROCHER 费列罗榛果巧克力制品T30</t>
  </si>
  <si>
    <t>FERRERO ROCHER 费列罗榛果巧克力制品T30 30粒</t>
  </si>
  <si>
    <t>8005610481005</t>
  </si>
  <si>
    <t>GUCCI花悦绽放100ML浓香</t>
  </si>
  <si>
    <t>3616305275745</t>
  </si>
  <si>
    <t>GUCCI绮梦馥栀100ML</t>
  </si>
  <si>
    <t>GUCCI绮梦木兰100ML浓香型</t>
  </si>
  <si>
    <t>浓香</t>
  </si>
  <si>
    <t>3616305169273</t>
  </si>
  <si>
    <t>GUCCI绮梦香草兰香100ml</t>
  </si>
  <si>
    <t>3616305169266</t>
  </si>
  <si>
    <t>GUCCI绮梦香草兰香50ml</t>
  </si>
  <si>
    <t>GUCCI绮梦栀子花100ML浓香型</t>
  </si>
  <si>
    <t>3614270443671</t>
  </si>
  <si>
    <t>Helena Rubinstein 赫莲娜 绿宝瓶新肌水200ml</t>
  </si>
  <si>
    <t>赫莲娜绿宝瓶新肌水200ml</t>
  </si>
  <si>
    <t>是</t>
    <phoneticPr fontId="3" type="noConversion"/>
  </si>
  <si>
    <t>3614270443725</t>
  </si>
  <si>
    <t>Helena Rubinstein 赫莲娜 绿宝瓶新肌水400ml</t>
  </si>
  <si>
    <t>赫莲娜绿宝瓶新肌水400ml</t>
  </si>
  <si>
    <t>HR赫莲娜绿宝瓶眼霜15ml</t>
  </si>
  <si>
    <t>赫莲娜绿宝瓶眼霜15</t>
  </si>
  <si>
    <t>4894374530098</t>
  </si>
  <si>
    <t>HR赫莲娜绿眼霜对装</t>
  </si>
  <si>
    <t>HR赫莲娜绿眼霜对装15ml*2</t>
  </si>
  <si>
    <t>3474636728268</t>
  </si>
  <si>
    <t>Kerastase卡诗黑钻鱼子酱洗发水250ml</t>
  </si>
  <si>
    <t>卡诗黑钻鱼子酱洗发水250ml</t>
  </si>
  <si>
    <t>MAC 子弹头口红 923# STAY CURIOUS</t>
  </si>
  <si>
    <t>MAC 子弹头 923</t>
  </si>
  <si>
    <t>773602679294</t>
  </si>
  <si>
    <t>MAC热吻棒67</t>
  </si>
  <si>
    <t>773602664795</t>
  </si>
  <si>
    <t>MAC无瑕粉底液N11 2.0</t>
  </si>
  <si>
    <t>MAC无瑕粉底液N18 2.0</t>
  </si>
  <si>
    <t>773602664764</t>
  </si>
  <si>
    <t>MAC无瑕粉底液NC11 2.0</t>
  </si>
  <si>
    <t>773602726127</t>
  </si>
  <si>
    <t>MAC紫白饼</t>
  </si>
  <si>
    <t>MiuMiu粉漾女士淡香氛50ml</t>
  </si>
  <si>
    <t>miumiu粉漾女士50</t>
  </si>
  <si>
    <t>3614220322452</t>
  </si>
  <si>
    <t>MiuMiu紅蓋同名女士濃香水50ml</t>
  </si>
  <si>
    <t>miumiu紅蓋同名女士50</t>
  </si>
  <si>
    <t>194251070384</t>
  </si>
  <si>
    <t>NARS 超方瓶-L2</t>
  </si>
  <si>
    <t>NARS 超方瓶L2</t>
  </si>
  <si>
    <t>194251070469</t>
  </si>
  <si>
    <t>NARS 超方瓶粉底液 L3#</t>
  </si>
  <si>
    <t>NARS超方瓶粉底液 L3</t>
  </si>
  <si>
    <t>194251070360</t>
  </si>
  <si>
    <t>NARS 超方瓶粉底液#L1</t>
  </si>
  <si>
    <t>NARS超方瓶粉底液L1</t>
  </si>
  <si>
    <t>NARS 粉底液 LO色</t>
  </si>
  <si>
    <t>NARS超方瓶粉底液LO</t>
  </si>
  <si>
    <t>NARS 柔哑净瑕持妆粉底液45ml L3 GOBI</t>
  </si>
  <si>
    <t>NARS粉底液L3 GOBI</t>
  </si>
  <si>
    <t>8885018060503</t>
  </si>
  <si>
    <t>NARS 遮瑕膏 VANILLA色号</t>
  </si>
  <si>
    <t>NARS 遮瑕膏VANILLA</t>
  </si>
  <si>
    <t>8858928024125</t>
  </si>
  <si>
    <t>NARS5894蜜粉饼10G</t>
  </si>
  <si>
    <t>NARS空气唇釉686 lose control</t>
  </si>
  <si>
    <t>NARS空气唇釉lose control</t>
  </si>
  <si>
    <t>194251130736</t>
  </si>
  <si>
    <t>NARS空气唇釉GIPSY吉普赛</t>
  </si>
  <si>
    <t>NARS空气唇釉GIPSY</t>
  </si>
  <si>
    <t>194251000374</t>
  </si>
  <si>
    <t>NARS空气唇釉thrust</t>
  </si>
  <si>
    <t>NARS纳斯定妆散粉</t>
  </si>
  <si>
    <t>NARS纳斯散粉</t>
  </si>
  <si>
    <t>194251133515</t>
  </si>
  <si>
    <t>NARS细管101 NO ANGEL</t>
  </si>
  <si>
    <t>NARS细管唇膏101</t>
  </si>
  <si>
    <t>194251139920</t>
  </si>
  <si>
    <t>NARS细管116 START ME UP</t>
  </si>
  <si>
    <t>NARS细管唇膏116</t>
  </si>
  <si>
    <t>NARS细管133 TOO HOT TO HOLD</t>
  </si>
  <si>
    <t>NARS细管唇膏133</t>
  </si>
  <si>
    <t>9352825000026</t>
  </si>
  <si>
    <t>Nature BOBO澳洲木瓜膏唇膜润唇1</t>
  </si>
  <si>
    <t>澳洲木瓜膏16g</t>
  </si>
  <si>
    <t>9352825000088</t>
  </si>
  <si>
    <t>Nature BOBO澳洲木瓜膏唇膜润唇2</t>
  </si>
  <si>
    <t>澳洲木瓜膏25g</t>
  </si>
  <si>
    <t>POLA 黑BA洁面</t>
  </si>
  <si>
    <t>POLA黑BA洁面</t>
  </si>
  <si>
    <t>SK2 神仙水230ml</t>
  </si>
  <si>
    <t>SK2 神仙水230</t>
  </si>
  <si>
    <t>4979006101416</t>
  </si>
  <si>
    <t>SK2大红瓶面霜80g滋润</t>
  </si>
  <si>
    <t>4979006101423</t>
  </si>
  <si>
    <t>SK2大红瓶滋润面霜100g</t>
  </si>
  <si>
    <t>SK2大红瓶滋润面霜100</t>
  </si>
  <si>
    <t>SK2大红瓶滋润面霜50g</t>
  </si>
  <si>
    <t>SK2骨胶原乳液100g</t>
  </si>
  <si>
    <t>4979006084610</t>
  </si>
  <si>
    <t>SK2立体修护眼霜15g两瓶装</t>
  </si>
  <si>
    <t>SK2立体修护眼霜15g*2</t>
  </si>
  <si>
    <t>SK2清莹露230ml</t>
  </si>
  <si>
    <t>SK2小灯泡50ml两瓶装（25年款）</t>
  </si>
  <si>
    <t>SK2小灯泡50ml*2（25年款）</t>
  </si>
  <si>
    <t>INFIN</t>
  </si>
  <si>
    <t>4979006096880</t>
  </si>
  <si>
    <t>SK2小银瓶50ml两瓶装</t>
  </si>
  <si>
    <t>SK-II 男士保湿焕活洁面霜120g</t>
  </si>
  <si>
    <t>SK2男士保湿焕活洁面霜120</t>
  </si>
  <si>
    <t>SK-II 男士焕活护肤精华露 230ml</t>
  </si>
  <si>
    <t>SK2男士焕活护肤精华露230</t>
  </si>
  <si>
    <t>SKII大红瓶面霜80g清爽</t>
  </si>
  <si>
    <t>SK2大红瓶面霜80g清爽</t>
  </si>
  <si>
    <t>SK-II光蕴臻采焕亮精华露双瓶装</t>
  </si>
  <si>
    <t>ULTR</t>
  </si>
  <si>
    <t>4979006116397</t>
  </si>
  <si>
    <t>SKII光子小灯泡75ml</t>
  </si>
  <si>
    <t>SK2光子小灯泡75ml</t>
  </si>
  <si>
    <t>SK-II光子小灯泡精华露50ml</t>
  </si>
  <si>
    <t>SK2光子小灯泡精华露50ml</t>
  </si>
  <si>
    <t>SKII洁面油250ml</t>
  </si>
  <si>
    <t>SK2洁面油250ml</t>
  </si>
  <si>
    <t>4979006090925</t>
  </si>
  <si>
    <t>SK-II晶致美肤乳液100g</t>
  </si>
  <si>
    <t>SK2晶致美肤乳液100g</t>
  </si>
  <si>
    <t>SKII女士洗面奶120g/支</t>
  </si>
  <si>
    <t>SK2女士洗面奶120g</t>
  </si>
  <si>
    <t>SK-II前男友面膜10片装</t>
  </si>
  <si>
    <t>SK2前男友面膜10片装</t>
  </si>
  <si>
    <t>SK-II小灯泡新版50ml</t>
  </si>
  <si>
    <t>SK2小灯泡新版50ml</t>
  </si>
  <si>
    <t>TF白麝香 100ml</t>
  </si>
  <si>
    <t>TF白麝香100</t>
  </si>
  <si>
    <t>888066106139</t>
  </si>
  <si>
    <t>TF黑管哑光16</t>
  </si>
  <si>
    <t>TF黑金唇釉123</t>
  </si>
  <si>
    <t>TF幻魅四色眼影盘#41 Peach Dawn桃色晨曦盘</t>
  </si>
  <si>
    <t>TF41眼影盘Peach Dawn</t>
  </si>
  <si>
    <t>888066011044</t>
  </si>
  <si>
    <t>TF01眼影盘GOLDEN MINK</t>
  </si>
  <si>
    <t>TF镜面唇蜜17</t>
  </si>
  <si>
    <t>TF汤姆福特 乌木沉香 100ml</t>
  </si>
  <si>
    <t>TF乌木沉香100</t>
  </si>
  <si>
    <t>888066137416</t>
  </si>
  <si>
    <t>TF细黑管52</t>
  </si>
  <si>
    <t>TOMFORD幻魅四色眼影盘 #35 玫瑰晶石</t>
  </si>
  <si>
    <t>TOMFORD幻魅四色眼影盘#35</t>
  </si>
  <si>
    <t>VAPE未來驅蚊液海藍柑橘噴霧200ml</t>
  </si>
  <si>
    <t>VAPE海藍柑橘噴霧200</t>
  </si>
  <si>
    <t>3614273671019</t>
  </si>
  <si>
    <t>YSL 细管丝绒纯口红 小黑条 316#</t>
  </si>
  <si>
    <t>YSL小黑条 316</t>
  </si>
  <si>
    <t>YSL爱心唇釉416</t>
  </si>
  <si>
    <t>3614270561658</t>
  </si>
  <si>
    <t>YSL反转巴黎浓香香水50ml</t>
  </si>
  <si>
    <t>YSL反转巴黎50ml</t>
  </si>
  <si>
    <t>YSL粉气垫B10</t>
  </si>
  <si>
    <t>YSL粉气垫替换芯B10</t>
  </si>
  <si>
    <t>4935421768962</t>
  </si>
  <si>
    <t>YSL粉气垫替换芯br20</t>
  </si>
  <si>
    <t>YSL黑鸦片浓香50ml</t>
  </si>
  <si>
    <t>YSL黑鸦片浓香50</t>
  </si>
  <si>
    <t>YSL口红8B</t>
  </si>
  <si>
    <t>4935421738767</t>
  </si>
  <si>
    <t>YSL皮革气垫B20替换芯新款</t>
  </si>
  <si>
    <t>YSL皮革气垫正装B20新款</t>
  </si>
  <si>
    <t>圣罗兰黑金方管13</t>
  </si>
  <si>
    <t xml:space="preserve">3614273946919 </t>
  </si>
  <si>
    <t>YSL圣罗兰黑金方管14色</t>
  </si>
  <si>
    <t>圣罗兰黑金方管14</t>
  </si>
  <si>
    <t>YSL圣罗兰黑金方管1968</t>
  </si>
  <si>
    <t>圣罗兰黑金方管1968</t>
  </si>
  <si>
    <t>YSL圣罗兰恒久粉底液25年新款粉盖LC1</t>
  </si>
  <si>
    <t>圣罗兰恒久粉底液粉盖LC1</t>
  </si>
  <si>
    <t>3614274403213</t>
  </si>
  <si>
    <t>YSL圣罗兰恒久粉底液25年新款粉盖LC2</t>
  </si>
  <si>
    <t>圣罗兰恒久粉底液粉盖LC2</t>
  </si>
  <si>
    <t>YSL圣罗兰夜皇后50ml</t>
  </si>
  <si>
    <t>圣罗兰夜皇后精华50ml</t>
  </si>
  <si>
    <t>YSL圣罗兰银管02色</t>
  </si>
  <si>
    <t>圣罗兰银管02</t>
  </si>
  <si>
    <t>3614273376334</t>
  </si>
  <si>
    <t>YSL细管小金条 #1966</t>
  </si>
  <si>
    <t>YSL细管小金条1966</t>
  </si>
  <si>
    <t>https://www.hktvmall.com/hktv/en/main/100MARKS-MALL/s/H9347001/Skincare-%26-Makeup/Skincare-%26-Makeup/Perfume-%26-Home-Fragrance/Perfume-For-Women/Floral-Notes/LIBRE-EAU-DE-PARFUM-30ml3614272648401/p/H9347001_S_3614272648401</t>
  </si>
  <si>
    <t>YSL自由之水浓香50ml</t>
  </si>
  <si>
    <t>YSL自由之水浓香50</t>
  </si>
  <si>
    <t>3614272648425</t>
  </si>
  <si>
    <t>YSL自由之水浓香90ml</t>
  </si>
  <si>
    <t>YSL自由之水浓香90</t>
  </si>
  <si>
    <t>阿玛尼 寄情男士淡香水100ml 新版</t>
  </si>
  <si>
    <t>阿玛尼寄情男士淡香水100新版</t>
  </si>
  <si>
    <t>https://www.jomashop.com/giorgio-armani-mens-acqua-di-gio-edt-spray-3-4-oz-fragrances-3614273955546.html</t>
  </si>
  <si>
    <t>阿玛尼「大师」锁光粉底液#3</t>
  </si>
  <si>
    <t>阿玛尼大师锁光粉底液3号</t>
  </si>
  <si>
    <t>蓝标</t>
  </si>
  <si>
    <t>https://www.wwmall.hk/products/giorgio-armani-armani-designer-glow-master-liquid-foundation-blue-label-3</t>
  </si>
  <si>
    <t>3614273129152</t>
  </si>
  <si>
    <t>阿玛尼大师蓝标粉底液1.5</t>
  </si>
  <si>
    <t>阿玛尼大师蓝标粉底1.5</t>
  </si>
  <si>
    <t>阿玛尼大师蓝标粉底液2#</t>
  </si>
  <si>
    <t>阿玛尼大师蓝标粉底液2号</t>
  </si>
  <si>
    <t>阿玛尼红管唇釉206#</t>
  </si>
  <si>
    <t>阿玛尼红管唇釉206</t>
  </si>
  <si>
    <t>3605522075283</t>
  </si>
  <si>
    <t>阿玛尼红管唇釉405-24年</t>
  </si>
  <si>
    <t>阿玛尼红管唇釉405</t>
  </si>
  <si>
    <t>阿玛尼红气垫替换芯2#-24年</t>
  </si>
  <si>
    <t>阿玛尼红气垫替换芯2</t>
  </si>
  <si>
    <t>阿玛尼气垫替换芯3号</t>
  </si>
  <si>
    <t>3614274306637</t>
  </si>
  <si>
    <t>阿玛尼权力PR0粉底 30m1 #3</t>
  </si>
  <si>
    <t>阿玛尼权力PR0粉底3号</t>
  </si>
  <si>
    <t>阿玛尼权力PR0粉底 30m1#2</t>
  </si>
  <si>
    <t>阿玛尼权力PR0粉底2号</t>
  </si>
  <si>
    <t xml:space="preserve">阿玛尼权力PR0粉底1.5 30ml </t>
  </si>
  <si>
    <t>3614273557986</t>
  </si>
  <si>
    <t>阿玛尼权力粉底液3号</t>
  </si>
  <si>
    <t>阿玛尼权力粉底液3</t>
  </si>
  <si>
    <t>阿玛尼权力口红410色</t>
  </si>
  <si>
    <t>阿玛尼权力口红410</t>
  </si>
  <si>
    <t>阿玛尼臻致丝绒哑光唇釉#214</t>
  </si>
  <si>
    <t>阿玛尼哑光唇釉214</t>
  </si>
  <si>
    <t>3614272073968</t>
  </si>
  <si>
    <t xml:space="preserve">阿玛尼挚爱哑光唇膏#400 </t>
  </si>
  <si>
    <t>阿玛尼挚爱哑光唇膏400</t>
  </si>
  <si>
    <t>爱马仕大地淡香水50ml</t>
  </si>
  <si>
    <t>爱马仕尼罗河淡香30ml</t>
  </si>
  <si>
    <t>爱马仕尼罗河淡香30</t>
  </si>
  <si>
    <t>716170238012</t>
  </si>
  <si>
    <t>芭比波朗 密集修护菁华妆前乳 40ml</t>
  </si>
  <si>
    <t>芭比波朗密集修护菁华妆前乳40</t>
  </si>
  <si>
    <t>芭比波朗 维他命橘子面霜 50ml</t>
  </si>
  <si>
    <t>芭比波朗橘子面霜50</t>
  </si>
  <si>
    <t>芭比波朗月光石眼影</t>
  </si>
  <si>
    <t>716170225401</t>
  </si>
  <si>
    <t>芭比布朗舒缓卸妆洁面油200ml</t>
  </si>
  <si>
    <t>芭比布朗洁面油200ml</t>
  </si>
  <si>
    <t>百瑞德无人区玫瑰50ML</t>
  </si>
  <si>
    <t>百瑞德无人区玫瑰50</t>
  </si>
  <si>
    <t>碧欧泉男士水动力乳液100ml</t>
  </si>
  <si>
    <t>3614226904997</t>
  </si>
  <si>
    <t>博柏利 新伦敦男士淡香水 50ml EDT</t>
  </si>
  <si>
    <t>博柏利新伦敦男士淡香水50ml</t>
  </si>
  <si>
    <t>城野医生美白淡斑精华1</t>
  </si>
  <si>
    <t>https://www.hktvmall.com/hktv/zh/main/%E7%9B%9B%E7%BE%8E%E7%BE%8E%E5%A6%9D/s/S2590001/%E8%AD%B7%E8%86%9A%E5%8C%96%E5%A6%9D/%E8%AD%B7%E8%86%9A%E5%8C%96%E5%A6%9D/%E9%9D%A2%E9%83%A8%E8%AD%B7%E7%90%86%E8%AD%B7%E8%86%9A/%E9%9D%A2%E9%83%A8%E7%B2%BE%E8%8F%AF/%E4%BA%AE%E7%99%BD%E7%A5%9B%E6%96%91%E7%B2%BE%E8%8F%AF/Super-White-377VC-%E7%BE%8E%E7%99%BD%E6%B7%A1%E6%96%91%E7%B2%BE%E8%8F%AF18g-%E5%B9%B3%E8%A1%8C%E9%80%B2%E5%8F%A3-4524734413517/p/S2590001_S_413517</t>
  </si>
  <si>
    <t>大卫杜夫 冷水男士香水 75ml EDP 加强版</t>
  </si>
  <si>
    <t>大卫杜夫冷水男士香水75ml</t>
  </si>
  <si>
    <t>4971710376524</t>
  </si>
  <si>
    <t>黛珂 多重防護素顏霜35g SPF50+/PA++++ #10 新版</t>
  </si>
  <si>
    <t>黛珂多重修颜素颜霜35</t>
  </si>
  <si>
    <t>https://www.hktvmall.com/hktv/zh/main/%E6%9C%97%E7%B6%AD/s/H7814001/%E8%AD%B7%E8%86%9A%E5%8C%96%E5%A6%9D/%E8%AD%B7%E8%86%9A%E5%8C%96%E5%A6%9D/%E9%9D%A2%E9%83%A8%E5%8C%96%E5%A6%9D/%E5%A6%9D%E5%89%8D%E5%BA%95%E9%9C%9C/%E7%B4%A0%E9%A1%8F%E9%9C%9C/49717103729604971710376524-%E9%BB%9B%E7%8F%82-%E5%A4%9A%E9%87%8D%E9%98%B2%E8%AD%B7%E7%B4%A0%E9%A1%8F%E9%9C%9C35g-SPF50PA-10-%E5%B9%B3%E8%A1%8C%E9%80%B2%E5%8F%A3%E8%B2%A8/p/H7814001_S_DCSSTUC10</t>
  </si>
  <si>
    <t>黛珂 防晒防水版60g</t>
  </si>
  <si>
    <t>黛珂防晒防水版60</t>
  </si>
  <si>
    <t>https://www.theplace.shop/p/100006201S_S_4971710372274</t>
  </si>
  <si>
    <t>黛珂 植物韵律清爽乳200ml</t>
  </si>
  <si>
    <t>黛珂植物韵律清爽乳200</t>
  </si>
  <si>
    <t>4971710364453</t>
  </si>
  <si>
    <t>黛珂 植物韵律清爽水200ml</t>
  </si>
  <si>
    <t>黛珂植物韵律清爽水200</t>
  </si>
  <si>
    <t>黛珂AQ白檀乳液200ml清爽型</t>
  </si>
  <si>
    <t xml:space="preserve">黛珂AQ白檀清爽乳液200 </t>
  </si>
  <si>
    <t>黛珂AQ白檀水200ml清爽型</t>
  </si>
  <si>
    <t>4971710367577</t>
  </si>
  <si>
    <t>黛珂AQ舒活滋润化妆水200ml</t>
  </si>
  <si>
    <t>黛珂AQ舒活滋润200</t>
  </si>
  <si>
    <t>黛珂AQ舒活滋润乳液200ml</t>
  </si>
  <si>
    <t>黛珂AQ舒活滋润乳液200</t>
  </si>
  <si>
    <t>4971710369458</t>
  </si>
  <si>
    <t>黛珂牛油果乳液 300ml</t>
  </si>
  <si>
    <t>黛珂牛油果乳液300</t>
  </si>
  <si>
    <t>黛珂牛油果乳液150ml</t>
  </si>
  <si>
    <t>黛珂牛油果乳液150</t>
  </si>
  <si>
    <t>黛珂牛油果乳液300ml*2</t>
  </si>
  <si>
    <t>4971710376166</t>
  </si>
  <si>
    <t>黛珂沁活晶澈润肤精华水200ml</t>
  </si>
  <si>
    <t>黛珂沁活晶澈润肤精华水200</t>
  </si>
  <si>
    <t>黛珂散粉01 24年新版</t>
  </si>
  <si>
    <t>黛珂散粉01</t>
  </si>
  <si>
    <t>黛珂散粉光肌00 24年新版</t>
  </si>
  <si>
    <t>黛珂散粉光肌00 24年</t>
  </si>
  <si>
    <t>4971710374551</t>
  </si>
  <si>
    <t>黛珂智密紧颜美白清爽乳液 200ml</t>
  </si>
  <si>
    <t>黛珂智密紧颜单乳清爽200</t>
  </si>
  <si>
    <t>黛珂紫苏水 300ml</t>
  </si>
  <si>
    <t>黛珂紫苏水300</t>
  </si>
  <si>
    <t>黛珂紫苏水150ml</t>
  </si>
  <si>
    <t>黛珂紫苏水150</t>
  </si>
  <si>
    <t>666151040328</t>
  </si>
  <si>
    <t>德美乐嘉多维面膜涂抹面膜75ml</t>
  </si>
  <si>
    <t>德美乐嘉多维面膜75</t>
  </si>
  <si>
    <t>mprm</t>
  </si>
  <si>
    <t>https://www.hktvmall.com/hktv/zh/main/%E6%9C%97%E7%B6%AD/s/H7814001/%E8%AD%B7%E8%86%9A%E5%8C%96%E5%A6%9D/%E8%AD%B7%E8%86%9A%E5%8C%96%E5%A6%9D/%E9%9D%A2%E9%83%A8%E8%AD%B7%E7%90%86%E8%AD%B7%E8%86%9A/%E9%9D%A2%E8%86%9C/%E9%9C%9C%E7%8B%80%E9%9D%A2%E8%86%9C/%E4%BF%9D%E6%BF%95%E9%9C%9C%E7%8B%80%E9%9D%A2%E8%86%9C/666151040328-%E5%BE%B7%E7%BE%8E%E6%A8%82%E5%98%89%E5%BC%B7%E6%95%88%E5%A4%9A%E7%A8%AE%E7%B6%AD%E4%BB%96%E5%91%BD%E5%86%8D%E7%94%9F%E9%9D%A2%E8%86%9C75ml-%E5%B9%B3%E8%A1%8C%E9%80%B2%E5%8F%A3%E8%B2%A8/p/H7814001_S_DMLGRCM75</t>
  </si>
  <si>
    <t>杜鲁萨迪 雅逸玫瑰女士香水 30ml EDT</t>
  </si>
  <si>
    <t>杜鲁萨迪雅逸玫瑰女士香水30ml</t>
  </si>
  <si>
    <t>范思哲 爱罗斯爱神男士香水 100ml EDP 简装</t>
  </si>
  <si>
    <t>范思哲爱神男士香水100ml简装</t>
  </si>
  <si>
    <t>淡香</t>
  </si>
  <si>
    <t>8011003861903</t>
  </si>
  <si>
    <t>范思哲 爱罗斯爱神男士香水 50ml EDP</t>
  </si>
  <si>
    <t>范思哲爱神男士香水50ml</t>
  </si>
  <si>
    <t>范思哲 追梦人男士淡香水 100ml EDT</t>
  </si>
  <si>
    <t>范思哲追梦人男士淡香水100ml</t>
  </si>
  <si>
    <t>费列罗榛果巧克力制品T24</t>
  </si>
  <si>
    <t>费列罗T24</t>
  </si>
  <si>
    <t>809280158353</t>
  </si>
  <si>
    <t>馥蕾诗红茶紧致面霜50ml</t>
  </si>
  <si>
    <t>馥蕾诗红茶精粹水250ml</t>
  </si>
  <si>
    <t>馥蕾诗玫瑰保湿面霜50ml两瓶装</t>
  </si>
  <si>
    <t>https://babymall.hk/zh-hant/product/fresh-%E9%A6%A5%E8%95%BE%E8%A9%A9-%E7%8E%AB%E7%91%B0%E6%B7%B1%E5%B1%A4%E4%BF%9D%E6%BF%95%E9%9D%A2%E9%9C%9C-50ml-x-2%E6%94%AF%E8%A3%9D/</t>
  </si>
  <si>
    <t>馥蕾诗玫瑰花瓣水400ml</t>
  </si>
  <si>
    <t>馥蕾诗睡莲日霜50ml</t>
  </si>
  <si>
    <t>https://www.yohohongkong.com/zh-hk/product/229249-FRESH-%E9%A6%A5%E8%95%BE%E8%A9%A9-%E7%9D%A1%E8%93%AE%E9%9D%92%E6%98%A5%E8%B3%A6%E6%B4%BB%E9%9D%A2%E9%9C%9C-50ml-809280164279</t>
  </si>
  <si>
    <t>馥蕾诗西柚香皂</t>
  </si>
  <si>
    <t>809280018565</t>
  </si>
  <si>
    <t>馥蕾诗小苍兰香皂</t>
  </si>
  <si>
    <t>拱辰享洁面180ml</t>
  </si>
  <si>
    <t>拱辰享洁面180</t>
  </si>
  <si>
    <t>否</t>
    <phoneticPr fontId="3" type="noConversion"/>
  </si>
  <si>
    <t>https://mobile.pinduoduo.com/goods.html?goods_id=825050360582&amp;_oak_rcto=YWIBWof8U1K0UMuheAYAaMCi9Dp0inP60uPduCPmARnHm0c4Lm-5WJEG&amp;_oc_refer_ad=0&amp;_oak_search_term=%E6%8B%B1%E8%BE%B0%E4%BA%AB%E6%B4%81%E9%9D%A2180ml&amp;_x_query=%E6%8B%B1%E8%BE%B0%E4%BA%AB%E6%B4%81%E9%9D%A2180ml&amp;refer_page_el_sn=99369&amp;refer_rn=&amp;page_from=23&amp;refer_page_name=search_result&amp;refer_page_id=10015_1762242045532_qx9wry0i29&amp;refer_page_sn=10015&amp;uin=7GNH6TTTHAHWN3SHK7WDYLNUNY_GEXDA</t>
  </si>
  <si>
    <t>3616302514281</t>
  </si>
  <si>
    <t>古驰花悦绽放女士浓香50ml</t>
  </si>
  <si>
    <t>古驰花悦绽放女士浓香50</t>
  </si>
  <si>
    <t>古驰金管217哑光</t>
  </si>
  <si>
    <t>古驰金管217</t>
  </si>
  <si>
    <t>3614229374933</t>
  </si>
  <si>
    <t>古驰金管哑光口红208#</t>
  </si>
  <si>
    <t>古驰金管哑光口红208</t>
  </si>
  <si>
    <t>古驰绮梦香草兰香型30ml</t>
  </si>
  <si>
    <t>古驰绮梦栀子花香水50ml浓香型</t>
  </si>
  <si>
    <t>3614228844857</t>
  </si>
  <si>
    <t>古驰细管口红#25*</t>
  </si>
  <si>
    <t>古驰细管口红25</t>
  </si>
  <si>
    <t>8005610295046</t>
  </si>
  <si>
    <t>古驰竹韵淡香50ml</t>
  </si>
  <si>
    <t>古驰竹韵淡香50</t>
  </si>
  <si>
    <t>古驰罪爱男香50ml</t>
  </si>
  <si>
    <t>古驰罪爱男香50</t>
  </si>
  <si>
    <t>海蓝之谜唇膜9g</t>
  </si>
  <si>
    <t>747930095903</t>
  </si>
  <si>
    <t>海蓝之谜洁面125ml</t>
  </si>
  <si>
    <t>747930121695</t>
  </si>
  <si>
    <t>海蓝之谜精粹水 150ml 新版</t>
  </si>
  <si>
    <t>海蓝之谜精粹水150 新</t>
  </si>
  <si>
    <t>海蓝之谜精粹水150ml</t>
  </si>
  <si>
    <t>海蓝之谜精粹水150</t>
  </si>
  <si>
    <t>747930000013</t>
  </si>
  <si>
    <t>海蓝之谜精华面霜60ml</t>
  </si>
  <si>
    <t>海蓝之谜面霜60ml</t>
  </si>
  <si>
    <t>747930123255</t>
  </si>
  <si>
    <t>海蓝之谜绿眼霜15ml</t>
  </si>
  <si>
    <t>海蓝之谜绿眼霜15</t>
  </si>
  <si>
    <t>海蓝之谜面霜100ml</t>
  </si>
  <si>
    <t>747930091059</t>
  </si>
  <si>
    <t>海蓝之谜气垫1号</t>
  </si>
  <si>
    <t>3605521489654</t>
  </si>
  <si>
    <t>赫莲娜 黑绷带50ml</t>
  </si>
  <si>
    <t>赫莲娜黑绷带50ml</t>
  </si>
  <si>
    <t>赫莲娜黑绷带100ml</t>
  </si>
  <si>
    <t>3614273762861</t>
  </si>
  <si>
    <t>赫莲娜黑绷带活颜修护舒缓晚霜115ML</t>
  </si>
  <si>
    <t>赫莲娜黑绷带面霜115ml</t>
  </si>
  <si>
    <t>3614274114133</t>
  </si>
  <si>
    <t>赫莲娜活颜修护眼霜 15ml</t>
  </si>
  <si>
    <t>赫莲娜活颜修护眼霜15ml</t>
  </si>
  <si>
    <t>赫莲娜绿宝瓶精华 按压款100ml</t>
  </si>
  <si>
    <t>赫莲娜绿宝瓶按压款100ml</t>
  </si>
  <si>
    <t>4936968874291</t>
  </si>
  <si>
    <t>赫莲娜小露珠精粹露200ml新款</t>
  </si>
  <si>
    <t>赫莲娜小露珠精粹露200ml</t>
  </si>
  <si>
    <t>887167381735</t>
  </si>
  <si>
    <t>红石榴面霜50ml 旧版</t>
  </si>
  <si>
    <t>https://www.suning.com/item/0010147821/10975131623.html</t>
  </si>
  <si>
    <t>后Whoo天气丹PRO乳110ML</t>
  </si>
  <si>
    <t>后天气丹PRO单乳110ML</t>
  </si>
  <si>
    <t>8801051582710</t>
  </si>
  <si>
    <t>后拱辰享美黄金气垫13G+替换装13G</t>
  </si>
  <si>
    <t>8801051715279</t>
  </si>
  <si>
    <t>后拱辰享气韵生水150ml</t>
  </si>
  <si>
    <t>后拱辰享活肤滋养爽肤水150ml</t>
  </si>
  <si>
    <t>后拱辰享水妍洁面180ml</t>
  </si>
  <si>
    <t>8801051242225</t>
  </si>
  <si>
    <t>后拱辰享水沄赋活保湿水150ml</t>
  </si>
  <si>
    <t>后水妍单水150ml</t>
  </si>
  <si>
    <t>8801051241464</t>
  </si>
  <si>
    <t>后拱辰享雪美白水150ml</t>
  </si>
  <si>
    <t>后拱辰享雪美白水150</t>
  </si>
  <si>
    <t>后津率享洁面180ml</t>
  </si>
  <si>
    <t>后津率享洁面180</t>
  </si>
  <si>
    <t>8801051994704</t>
  </si>
  <si>
    <t>后津率享平衡水150ml</t>
  </si>
  <si>
    <t>后津率享平衡水150</t>
  </si>
  <si>
    <t>8801051268690</t>
  </si>
  <si>
    <t>后天气丹PRO水150ML</t>
  </si>
  <si>
    <t>后天气丹PRO水150</t>
  </si>
  <si>
    <t>后雪玉凝美白洗面奶 180ml</t>
  </si>
  <si>
    <t>后雪玉凝美白洗面奶180</t>
  </si>
  <si>
    <t>3274872455115</t>
  </si>
  <si>
    <t>纪梵希 粉丝绒N27</t>
  </si>
  <si>
    <t>纪梵希粉丝绒N27</t>
  </si>
  <si>
    <t>3274872429185</t>
  </si>
  <si>
    <t>纪梵希 红丝绒口红#N36</t>
  </si>
  <si>
    <t>纪梵希口红N36</t>
  </si>
  <si>
    <t>纪梵希 红丝绒口红#N37</t>
  </si>
  <si>
    <t>纪梵希口红N37</t>
  </si>
  <si>
    <t>3274872422599</t>
  </si>
  <si>
    <t>纪梵希 小粉皮口红#N333</t>
  </si>
  <si>
    <t>纪梵希小粉皮口红N333</t>
  </si>
  <si>
    <t>3274872447042</t>
  </si>
  <si>
    <t>纪梵希 小羊皮 N306</t>
  </si>
  <si>
    <t>纪梵希小羊皮N306</t>
  </si>
  <si>
    <t>纪梵希粉丝绒N37</t>
  </si>
  <si>
    <t>纪梵希粉丝绒口红N37</t>
  </si>
  <si>
    <t>3274872438675</t>
  </si>
  <si>
    <t>纪梵希四宫格散粉1号色</t>
  </si>
  <si>
    <t>3274872498105</t>
  </si>
  <si>
    <t>纪梵希四宫格散粉1号色（新版）</t>
  </si>
  <si>
    <t>纪梵希四宫格散粉1号（新版）</t>
  </si>
  <si>
    <t>https://www.hktvmall.com/hktv/zh/main/100MARKS-MALL/s/H9347001/%E8%AD%B7%E8%86%9A%E5%8C%96%E5%A6%9D/%E8%AD%B7%E8%86%9A%E5%8C%96%E5%A6%9D/%E9%9D%A2%E9%83%A8%E5%8C%96%E5%A6%9D/%E5%AE%9A%E5%A6%9D/%E8%9C%9C%E7%B2%89/%E6%96%B0%E7%89%88-%E7%B4%80%E6%A2%B5%E5%B8%8C%E8%BC%95%E7%9B%88%E7%84%A1%E7%97%95%E6%98%8E%E6%98%9F%E6%95%A3%E7%B2%89%E5%9B%9B%E5%AE%AE%E6%A0%BC%E6%95%A3%E7%B2%891%E8%99%9F%E8%89%B2%E6%95%A3%E7%B2%891%E8%99%9F-43g3274872498105/p/H9347001_S_3274872498105</t>
  </si>
  <si>
    <t>娇兰第三代复原蜜50ml</t>
  </si>
  <si>
    <t>3666057202520</t>
  </si>
  <si>
    <t>娇韵诗第九代双萃焕活修护精华100ML</t>
  </si>
  <si>
    <t>娇韵诗 抚纹油 100ml</t>
  </si>
  <si>
    <t>娇韵诗抚纹油100ml</t>
  </si>
  <si>
    <t>3666057216503</t>
  </si>
  <si>
    <t>娇韵诗 棉花籽洁面 125ml 新版</t>
  </si>
  <si>
    <t>娇韵诗棉花籽洁面125ml新版</t>
  </si>
  <si>
    <t>https://www.theplace.shop/p/100027721S_S_3666057216503</t>
  </si>
  <si>
    <t>3666057202445</t>
  </si>
  <si>
    <t>娇韵诗 双萃新版第9代 30ml</t>
  </si>
  <si>
    <t>娇韵诗双萃新版第9代 30ml</t>
  </si>
  <si>
    <t>娇韵诗 双萃新版第9代 75ml</t>
  </si>
  <si>
    <t>娇韵诗双萃新版第9代75ml</t>
  </si>
  <si>
    <t>3380810463170</t>
  </si>
  <si>
    <t>娇韵诗 双萃眼霜 20ml</t>
  </si>
  <si>
    <t>3666057263873</t>
  </si>
  <si>
    <t>娇韵诗弹簧水200ml</t>
  </si>
  <si>
    <t>娇韵诗弹簧水200</t>
  </si>
  <si>
    <t>娇韵诗光芒小瓷瓶精华50ml</t>
  </si>
  <si>
    <t>娇韵诗小瓷瓶50</t>
  </si>
  <si>
    <t>3666057272721</t>
  </si>
  <si>
    <t>娇韵诗焕颜紧致晚霜50ml</t>
  </si>
  <si>
    <t>3666057023361</t>
  </si>
  <si>
    <t>娇韵诗美白滋润水200ml</t>
  </si>
  <si>
    <t>娇韵诗双萃焕活修护精华露100ml</t>
  </si>
  <si>
    <t>娇韵诗双萃修护精华露100ml</t>
  </si>
  <si>
    <t>娇韵诗双萃精华50ml九代新版</t>
  </si>
  <si>
    <t>娇韵诗双萃精华50ml九代</t>
  </si>
  <si>
    <t>3666057202476</t>
  </si>
  <si>
    <t>娇韵诗双萃精华清爽50ML</t>
  </si>
  <si>
    <t>娇韵诗双萃精华清爽50</t>
  </si>
  <si>
    <t>八代清爽</t>
  </si>
  <si>
    <t>https://www.theplace.shop/p/100032761S_S_LIGHTDOUBLESERUM50ML</t>
  </si>
  <si>
    <t>3666057023378</t>
  </si>
  <si>
    <t>娇韵诗透亮焕白淡斑乳液75mL</t>
  </si>
  <si>
    <t>娇韵诗透亮焕白淡斑乳液75</t>
  </si>
  <si>
    <t>3605975038132</t>
  </si>
  <si>
    <t>一代旧版</t>
  </si>
  <si>
    <t>科颜氏 高保湿面霜125ml 滋润</t>
  </si>
  <si>
    <t xml:space="preserve">科颜氏高保湿面霜滋润125 </t>
  </si>
  <si>
    <t>3605970630881</t>
  </si>
  <si>
    <t>科颜氏 金盏花洁面啫喱230ml</t>
  </si>
  <si>
    <t>科颜氏金盏花洁面啫喱230</t>
  </si>
  <si>
    <t>3605971990496</t>
  </si>
  <si>
    <t>科颜氏 金盏花面霜100ml</t>
  </si>
  <si>
    <t>科颜氏金盏花面霜100</t>
  </si>
  <si>
    <t>https://www.nobo.hk/products/kiehls-calendula-serum-infused-water-cream-100ml</t>
  </si>
  <si>
    <t>科颜氏 金盏花面霜50ml</t>
  </si>
  <si>
    <t>科颜氏金盏花面霜50</t>
  </si>
  <si>
    <t>https://www.hktvmall.com/hktv/zh/main/Hello-Beauty/s/B0297001/%E8%AD%B7%E8%86%9A%E5%8C%96%E5%A6%9D/%E8%AD%B7%E8%86%9A%E5%8C%96%E5%A6%9D/%E9%9D%A2%E9%83%A8%E8%AD%B7%E7%90%86%E8%AD%B7%E8%86%9A/%E9%9D%A2%E9%9C%9C/%E6%97%A5%E9%9C%9C/%E4%BF%9D%E6%BF%95%E6%97%A</t>
  </si>
  <si>
    <t>3700194711702</t>
  </si>
  <si>
    <t>科颜氏 金盏花爽肤水250ml</t>
  </si>
  <si>
    <t>科颜氏金盏花爽肤水250</t>
  </si>
  <si>
    <t>3700194711719</t>
  </si>
  <si>
    <t>科颜氏 金盏花植物精华化妆水500ml</t>
  </si>
  <si>
    <t>科颜氏金盏花爽肤水500</t>
  </si>
  <si>
    <t>科颜氏 美白淡斑精华100ml</t>
  </si>
  <si>
    <t>科颜氏淡斑精华100</t>
  </si>
  <si>
    <t>3605972549082</t>
  </si>
  <si>
    <t>科颜氏淡斑精华115ml</t>
  </si>
  <si>
    <t>科颜氏淡斑精华115</t>
  </si>
  <si>
    <t>3605972453174</t>
  </si>
  <si>
    <t>科颜氏高保湿霜125ml 清爽</t>
  </si>
  <si>
    <t>3605972453211</t>
  </si>
  <si>
    <t>科颜氏果冻清爽高保湿霜50ml/瓶</t>
  </si>
  <si>
    <t>科颜氏果冻清爽高保湿霜50ml</t>
  </si>
  <si>
    <t>3605975077063</t>
  </si>
  <si>
    <t>科颜氏男士洁面啫喱250ml</t>
  </si>
  <si>
    <t>科颜氏男士洁面啫喱250</t>
  </si>
  <si>
    <t>科颜氏男士乳液125ml</t>
  </si>
  <si>
    <t>3614225343957</t>
  </si>
  <si>
    <t>蔻依北国雪松浓香水50ml</t>
  </si>
  <si>
    <t>蔻依北国雪松50ml</t>
  </si>
  <si>
    <t>拉夫劳伦地球淡香氛 100ml</t>
  </si>
  <si>
    <t>拉夫劳伦地球淡香氛 100</t>
  </si>
  <si>
    <t>拉夫劳伦地球淡香氛 40ml</t>
  </si>
  <si>
    <t>拉夫劳伦地球淡香氛 40</t>
  </si>
  <si>
    <t>3605972831453</t>
  </si>
  <si>
    <t>拉夫劳伦地球系列淡香氛 安的列斯香根草 100ml</t>
  </si>
  <si>
    <t>拉夫劳伦安的列斯香根草100</t>
  </si>
  <si>
    <t>3605972831354</t>
  </si>
  <si>
    <t>拉夫劳伦地球系列淡香氛 安的列斯香根草 40ml</t>
  </si>
  <si>
    <t>拉夫劳伦安的列斯香根草40</t>
  </si>
  <si>
    <t>拉夫劳伦地球系列淡香氛 摩洛哥橙花 40ml</t>
  </si>
  <si>
    <t>拉夫劳伦摩洛哥橙花40</t>
  </si>
  <si>
    <t>3605972831576</t>
  </si>
  <si>
    <t>拉夫劳伦地球系列淡香氛 普罗旺斯鼠尾草 100ml</t>
  </si>
  <si>
    <t>拉夫劳伦普罗旺斯鼠尾草100</t>
  </si>
  <si>
    <t>3605972866325</t>
  </si>
  <si>
    <t>拉夫劳伦地球系列淡香氛 普罗旺斯鼠尾草 40ml</t>
  </si>
  <si>
    <t>拉夫劳伦普罗旺斯鼠尾草40</t>
  </si>
  <si>
    <t>拉夫劳伦地球系列香氛 澳洲檀木 100ml</t>
  </si>
  <si>
    <t>拉夫劳伦澳洲檀木100</t>
  </si>
  <si>
    <t>3605971512575</t>
  </si>
  <si>
    <t>拉夫劳伦地球系列香氛 澳洲檀木 40ml</t>
  </si>
  <si>
    <t>拉夫劳伦澳洲檀木 40</t>
  </si>
  <si>
    <t>3605971512650</t>
  </si>
  <si>
    <t>拉夫劳伦俱乐部香水淡香型 100ML</t>
  </si>
  <si>
    <t>拉夫劳伦俱乐部香水淡香型 30ML</t>
  </si>
  <si>
    <t>7611773113892</t>
  </si>
  <si>
    <t>莱珀妮反重力精华50ml</t>
  </si>
  <si>
    <t>莱珀妮反重力50</t>
  </si>
  <si>
    <t>3614273793551</t>
  </si>
  <si>
    <t>兰蔻 持妆粉底液 PO-01 30ml</t>
  </si>
  <si>
    <t>兰蔻持妆粉底液PO-01</t>
  </si>
  <si>
    <t xml:space="preserve">兰蔻 极光乳液净澈焕肤亮白乳液 75ml </t>
  </si>
  <si>
    <t>兰蔻极光乳75ml</t>
  </si>
  <si>
    <t>一代</t>
  </si>
  <si>
    <t>3614272520684</t>
  </si>
  <si>
    <t>兰蔻 极光水250ML新款</t>
  </si>
  <si>
    <t>兰蔻极光水250ml新款</t>
  </si>
  <si>
    <t>二代新版</t>
  </si>
  <si>
    <t>3614272623507</t>
  </si>
  <si>
    <t>兰蔻第二代肌底液100ml</t>
  </si>
  <si>
    <t>兰蔻第三代肌底液100ml</t>
  </si>
  <si>
    <t>3614274142327</t>
  </si>
  <si>
    <t>兰蔻二代精华肌底液115ml</t>
  </si>
  <si>
    <t>兰蔻二代小黑瓶115</t>
  </si>
  <si>
    <t>3147758030297</t>
  </si>
  <si>
    <t>兰蔻粉水400ml 旧版</t>
  </si>
  <si>
    <t>兰蔻粉水400ml</t>
  </si>
  <si>
    <t>兰蔻粉水400ml 新版</t>
  </si>
  <si>
    <t>兰蔻粉水400ml渐变版</t>
  </si>
  <si>
    <t>4935421707626</t>
  </si>
  <si>
    <t>兰蔻极光洁面乳125ml</t>
  </si>
  <si>
    <t>兰蔻极光洁面乳125</t>
  </si>
  <si>
    <t>4935421786515</t>
  </si>
  <si>
    <t>兰蔻极光美白精华50ml 新款</t>
  </si>
  <si>
    <t>兰蔻极光美白精华50新版</t>
  </si>
  <si>
    <t>https://detail.youzan.com/show/goods?from_source=gbox_seo&amp;alias=26wn1iuopfflubb</t>
  </si>
  <si>
    <t>兰蔻菁纯粉底液100</t>
  </si>
  <si>
    <t>https://duty-free-japan.jp/jfm/ch/goodsDetail.aspx?sCD=5503436484</t>
  </si>
  <si>
    <t>3614273962087</t>
  </si>
  <si>
    <t>兰蔻菁纯丝绒雾面唇膏200#</t>
  </si>
  <si>
    <t>兰蔻菁纯丝绒雾面唇膏200</t>
  </si>
  <si>
    <t>4894374627996</t>
  </si>
  <si>
    <t>兰蔻菁纯眼霜20ml两瓶装</t>
  </si>
  <si>
    <t>兰蔻奇迹香水30ml</t>
  </si>
  <si>
    <t>兰蔻奇迹香水30</t>
  </si>
  <si>
    <t>4935421669078</t>
  </si>
  <si>
    <t>兰蔻清爽防晒50ml 25款</t>
  </si>
  <si>
    <t>兰蔻清爽防晒50ml25年</t>
  </si>
  <si>
    <t>3614274078558</t>
  </si>
  <si>
    <t>兰蔻是我淡香水 50ml</t>
  </si>
  <si>
    <t>兰蔻是我淡香水50</t>
  </si>
  <si>
    <t>兰蔻水唇釉275#</t>
  </si>
  <si>
    <t>兰蔻菁纯口红275</t>
  </si>
  <si>
    <t>4935421669252</t>
  </si>
  <si>
    <t>兰蔻小白管防晒乳50ml</t>
  </si>
  <si>
    <t>https://www.godwell.com.hk/goods/11171-UV-Expert-Youth-Shield-Tone-Up-Milk-Rosy-Bloom</t>
  </si>
  <si>
    <t>4894374641329</t>
  </si>
  <si>
    <t>兰蔻小白管轻适水漾防晒乳 50ml*2</t>
  </si>
  <si>
    <t>兰蔻小白管清爽防晒50ml*2</t>
  </si>
  <si>
    <t>https://duty-free-japan.jp/haneda/ta/goodsDetail.aspx?sCD=5503436460</t>
  </si>
  <si>
    <t>兰蔻小黑瓶肌底液第二代100ml*2</t>
  </si>
  <si>
    <t>3614273274647</t>
  </si>
  <si>
    <t>兰蔻小黑瓶眼霜15ml</t>
  </si>
  <si>
    <t>兰蔻小黑瓶眼霜15g</t>
  </si>
  <si>
    <t>3614274308464</t>
  </si>
  <si>
    <t>兰蔻小黑瓶眼霜20ml</t>
  </si>
  <si>
    <t>https://www.hktvmall.com/hktv/zh/main/100MARKS-MALL/s/H9347001/%E8%AD%B7%E8%86%9A%E5%8C%96%E5%A6%9D/%E8%AD%B7%E8%86%9A%E5%8C%96%E5%A6%9D/%E7%9C%BC%E5%94%87%E8%AD%B7%E7%90%86/%E7%9C%BC%E9%9C%9C/%E6%8A%97%E7%B4%8B%E7%B7%8A%E7%B7%BB%E7%9C%BC%E9%9C%9C/%E8%98%AD%E8%94%BB-%E6%9C%80%E6%96%B0%E7%89%88%E8%B6%85%E4%BF%AE%E5%B0%8F%E9%BB%91%E7%93%B6%E7%9C%BC%E9%9C%9C20ml-%E5%8D%87%E7%B4%9A%E7%89%88%E5%AB%A9%E8%82%8C%E6%B4%BB%E8%86%9A%E7%9C%BC%E9%9C%9C3614274308464/p/H9347001_S_3614274308464</t>
  </si>
  <si>
    <t>兰蔻小蛮腰哑光296唇膏</t>
  </si>
  <si>
    <t>兰蔻小蛮腰296</t>
  </si>
  <si>
    <t>3614274004489</t>
  </si>
  <si>
    <t>兰蔻养肤水粉底液 PO-01 30ml</t>
  </si>
  <si>
    <t>736150000316</t>
  </si>
  <si>
    <t>罗拉散粉经典款29G</t>
  </si>
  <si>
    <t>罗拉散粉经典款29g</t>
  </si>
  <si>
    <t>马丁马吉拉-慵懒周末100ml</t>
  </si>
  <si>
    <t>马吉拉慵懒周末100</t>
  </si>
  <si>
    <t>3614273567305</t>
  </si>
  <si>
    <t>马丁马吉拉慵懒周末身体乳200ml</t>
  </si>
  <si>
    <t>695215678048</t>
  </si>
  <si>
    <t>马来西亚OLDTOWN进口白咖啡天然庶糖540g</t>
  </si>
  <si>
    <t>旧街场进口白咖啡天然庶糖540g</t>
  </si>
  <si>
    <t>马来西亚进口OldTown旧街场白咖啡特浓浓醇三合一速溶白咖啡15条</t>
  </si>
  <si>
    <t>旧街场白咖啡15条</t>
  </si>
  <si>
    <t>634384107737</t>
  </si>
  <si>
    <t>马来西亚进口旧街场白咖啡二合一375g</t>
  </si>
  <si>
    <t>旧街场白咖啡二合一375g</t>
  </si>
  <si>
    <t>799219486819</t>
  </si>
  <si>
    <t>马来西亚旧街场进口白咖啡微研磨375g</t>
  </si>
  <si>
    <t>旧街场进口白咖啡微研磨375g</t>
  </si>
  <si>
    <t>马来西亚旧街场进口白咖啡咸焦糖525g</t>
  </si>
  <si>
    <t>旧街场进口白咖啡咸焦糖525g</t>
  </si>
  <si>
    <t>633399292594</t>
  </si>
  <si>
    <t>马来西亚旧街场进口三合一速溶白咖啡低糖醇厚条装525g</t>
  </si>
  <si>
    <t>旧街场进口三合一速溶白咖啡低糖醇厚条装525g</t>
  </si>
  <si>
    <t>马来西亚旧街场三合一经典原味白咖啡525g</t>
  </si>
  <si>
    <t>旧街场三合一经典原味白咖啡525g</t>
  </si>
  <si>
    <t>838085641787</t>
  </si>
  <si>
    <t>马来西亚旧街场三合一榛果味白咖啡525g</t>
  </si>
  <si>
    <t>旧街场三合一榛果味白咖啡525g</t>
  </si>
  <si>
    <t>767332603612</t>
  </si>
  <si>
    <t>慕拉得塑颜修复A醇精华30ml</t>
  </si>
  <si>
    <t>慕拉得A醇精华30ml</t>
  </si>
  <si>
    <t>欧珑赤霞橘光护手霜30ML</t>
  </si>
  <si>
    <t>欧珑赤霞橘光护手霜30ml</t>
  </si>
  <si>
    <t>3614273984553</t>
  </si>
  <si>
    <t>欧珑淡香精  赤霞橘光 100ML</t>
  </si>
  <si>
    <t>欧珑赤霞橘光100ml</t>
  </si>
  <si>
    <t>3614273984546</t>
  </si>
  <si>
    <t>欧珑淡香精  情柚独钟 100ML</t>
  </si>
  <si>
    <t>欧珑淡情柚独钟100ml</t>
  </si>
  <si>
    <t>欧珑淡香精  无极乌龙 100ML</t>
  </si>
  <si>
    <t>欧珑无极乌龙100</t>
  </si>
  <si>
    <t>3614273984843</t>
  </si>
  <si>
    <t>欧珑淡香精 赤霞橘光 30ML</t>
  </si>
  <si>
    <t>欧珑赤霞橘光30</t>
  </si>
  <si>
    <t>3614273984836</t>
  </si>
  <si>
    <t>欧珑淡香精 情柚独钟 30ML</t>
  </si>
  <si>
    <t>欧珑情柚独钟30</t>
  </si>
  <si>
    <t>欧珑淡香精 无极乌龙 30ML</t>
  </si>
  <si>
    <t>欧珑无极乌龙30</t>
  </si>
  <si>
    <t>3614273984973</t>
  </si>
  <si>
    <t>欧珑淡香精 雪松之恋 30ML</t>
  </si>
  <si>
    <t>欧珑雪松之恋30</t>
  </si>
  <si>
    <t>3614273069083</t>
  </si>
  <si>
    <t>欧珑无极乌龙护手霜30ML</t>
  </si>
  <si>
    <t>欧舒丹玫瑰身体乳250ml</t>
  </si>
  <si>
    <t>https://duty-free-japan.jp/narita/ch/goodsDetail.aspx?sCD=5503651514</t>
  </si>
  <si>
    <t>3253581768334</t>
  </si>
  <si>
    <t>欧舒丹乳木果身体乳250ml</t>
  </si>
  <si>
    <t>3253581993033</t>
  </si>
  <si>
    <t>欧舒丹樱花护手霜三支装</t>
  </si>
  <si>
    <t>欧舒丹樱花护手霜75ml*3三支装</t>
  </si>
  <si>
    <t>潘婷奇迹发膜胶原护发素损伤修护150ml</t>
  </si>
  <si>
    <t>潘婷奇迹发膜150ml</t>
  </si>
  <si>
    <t>192333127070</t>
  </si>
  <si>
    <t>倩碧 紫胖子卸妆膏125ml</t>
  </si>
  <si>
    <t>倩碧紫胖子卸妆膏125</t>
  </si>
  <si>
    <t>20714215552</t>
  </si>
  <si>
    <t xml:space="preserve">倩碧小雏菊裸色阳光腮#05 </t>
  </si>
  <si>
    <t xml:space="preserve">倩碧小雏菊裸色阳光腮05 </t>
  </si>
  <si>
    <t>倩碧有油润肤乳125ml</t>
  </si>
  <si>
    <t>圣罗兰 明彩粉光轻垫粉底液 粉气垫 #B20 CN</t>
  </si>
  <si>
    <t>YSL粉气垫B20</t>
  </si>
  <si>
    <t>3614274226485</t>
  </si>
  <si>
    <t>圣罗兰爱心黑管唇釉440</t>
  </si>
  <si>
    <t>3614274226515</t>
  </si>
  <si>
    <t>圣罗兰爱心黑管唇釉620</t>
  </si>
  <si>
    <t>圣罗兰黑色皮革气垫B10</t>
  </si>
  <si>
    <t>4936968808494</t>
  </si>
  <si>
    <t>圣罗兰黑色皮革气垫替换装B10</t>
  </si>
  <si>
    <t>3365440680111</t>
  </si>
  <si>
    <t>圣罗兰女神逆龄粉底液B20</t>
  </si>
  <si>
    <t>圣罗兰小金条细管口红21号复古正红色</t>
  </si>
  <si>
    <t>圣罗兰小金条21号色</t>
  </si>
  <si>
    <t>3605972549686</t>
  </si>
  <si>
    <t>衰败城市牛郎眼影</t>
  </si>
  <si>
    <t>8809949494695</t>
  </si>
  <si>
    <t>苏秘气垫1号</t>
  </si>
  <si>
    <t>苏秘呼吸惊喜水分气垫单个</t>
  </si>
  <si>
    <t>薇迪薇奇净颜美肌洁面乳</t>
  </si>
  <si>
    <t>3337871331290</t>
  </si>
  <si>
    <t>薇姿VICHY洗发水绿标硫化硒去屑止痒控油洗发乳390ml</t>
  </si>
  <si>
    <t>薇姿洗发水绿标控油洗发乳390</t>
  </si>
  <si>
    <t>625273090420</t>
  </si>
  <si>
    <t>伟博金萃高纯度鱼油1100</t>
  </si>
  <si>
    <t>https://npcitem.jd.hk/10028354045819.html</t>
  </si>
  <si>
    <t>625273052558</t>
  </si>
  <si>
    <t>伟博天然氨糖D3维骨力胶囊300粒</t>
  </si>
  <si>
    <t>150mg</t>
  </si>
  <si>
    <t>https://npcitem.jd.hk/100090426956.html</t>
  </si>
  <si>
    <t>100mg</t>
  </si>
  <si>
    <t>https://www.amazon.com/-/zh_TW/Webber-Naturals-%E8%BC%94%E9%85%B6Q10-100-%E7%B2%92%E8%BB%9F%E8%86%A0%E5%9B%8A/dp/B00FGP3F5G</t>
  </si>
  <si>
    <t>625273090185</t>
  </si>
  <si>
    <t>伟博天然鱼油软胶囊120粒</t>
  </si>
  <si>
    <t>https://npcitem.jd.hk/10058539554994.html</t>
  </si>
  <si>
    <t>3145891414509</t>
  </si>
  <si>
    <t>香奈儿山茶花柔和净肤泡沫 洁面 女款 清爽 150ml</t>
  </si>
  <si>
    <t>香奈儿山茶花洁面女款清爽150</t>
  </si>
  <si>
    <t>887167485525</t>
  </si>
  <si>
    <t>雅诗兰黛 第七代 小棕瓶100ml</t>
  </si>
  <si>
    <t>雅诗兰黛第七代小棕瓶100</t>
  </si>
  <si>
    <t>雅诗兰黛 净莹柔肤洁面乳150ml（蓝洁面）</t>
  </si>
  <si>
    <t>雅诗兰黛净莹柔肤蓝洁面150</t>
  </si>
  <si>
    <t>887167381926</t>
  </si>
  <si>
    <t>雅诗兰黛 鲜活亮采红石榴倍润水 200ml</t>
  </si>
  <si>
    <t>雅诗兰黛红石榴倍润水200ml</t>
  </si>
  <si>
    <t>旧版</t>
  </si>
  <si>
    <t>887167419704</t>
  </si>
  <si>
    <t>雅诗兰黛DW  2c0</t>
  </si>
  <si>
    <t>雅诗兰黛DW粉底液2c0</t>
  </si>
  <si>
    <t>雅诗兰黛白金粉底液1CO</t>
  </si>
  <si>
    <t>887167464179</t>
  </si>
  <si>
    <t>雅诗兰黛白金粉底液1W0</t>
  </si>
  <si>
    <t>887167727793</t>
  </si>
  <si>
    <t>雅诗兰黛大棕罐膜霜65ml</t>
  </si>
  <si>
    <t>雅诗兰黛大棕瓶65ml</t>
  </si>
  <si>
    <t>雅诗兰黛第七代特润小棕瓶100ml*2（新款）</t>
  </si>
  <si>
    <t>雅诗兰黛多效智妍乳霜75ml清爽</t>
  </si>
  <si>
    <t>887167381872</t>
  </si>
  <si>
    <t>雅诗兰黛红石榴洁面125ml</t>
  </si>
  <si>
    <t>红石榴洁面125</t>
  </si>
  <si>
    <t>雅诗兰黛红石榴洁面125ml两支装</t>
  </si>
  <si>
    <t>887167427723</t>
  </si>
  <si>
    <t>雅诗兰黛红石榴洁面60ml</t>
  </si>
  <si>
    <t>887167636439</t>
  </si>
  <si>
    <t>雅诗兰黛红石榴水200ml两支装</t>
  </si>
  <si>
    <t>雅诗兰黛线雕精华50ml（新版）</t>
  </si>
  <si>
    <t>雅诗兰黛线雕精华50ml新版</t>
  </si>
  <si>
    <t>ELPRSH</t>
  </si>
  <si>
    <t>https://www.nobo.hk/products/est%C3%A9e-lauder-new-perfectionist-pro-rapid-firm-lift-serum-hexapeptides-8950mlparallel-import</t>
  </si>
  <si>
    <t>887167588509</t>
  </si>
  <si>
    <t>雅诗兰黛小棕瓶眼霜15ml</t>
  </si>
  <si>
    <t>第五代</t>
  </si>
  <si>
    <t>887167557345</t>
  </si>
  <si>
    <t>雅诗兰黛樱花微精华原生液400ml</t>
  </si>
  <si>
    <t>雅诗兰黛樱花原生液400ml</t>
  </si>
  <si>
    <t>雅诗兰黛智妍晚霜75ml</t>
  </si>
  <si>
    <t>4931449433080</t>
  </si>
  <si>
    <t>茵芙纱 三色遮瑕4.5g</t>
  </si>
  <si>
    <t>茵芙纱三色遮瑕</t>
  </si>
  <si>
    <t>植村秀持久保湿定妆喷雾100ml</t>
  </si>
  <si>
    <t>植村秀定妆喷雾100ml</t>
  </si>
  <si>
    <t>4894374492372</t>
  </si>
  <si>
    <t>植村秀绿茶卸妆油450ml两瓶装</t>
  </si>
  <si>
    <t>植村秀绿茶卸妆油450ml*2</t>
  </si>
  <si>
    <t>729238212565</t>
  </si>
  <si>
    <t>资生堂/ SHISEIDO时光大琉璃水（新版）170ml</t>
  </si>
  <si>
    <t>资生堂琉璃水170</t>
  </si>
  <si>
    <t>CBLC</t>
  </si>
  <si>
    <t>资生堂/SHISEIDO百优面霜50ml</t>
  </si>
  <si>
    <t>资生堂百优面霜50</t>
  </si>
  <si>
    <t>729238224469</t>
  </si>
  <si>
    <t>资生堂/SHISEIDO红腰子精华（新版）75ml</t>
  </si>
  <si>
    <t>红腰子精华新版75</t>
  </si>
  <si>
    <t>729238054202</t>
  </si>
  <si>
    <t>资生堂/SHISEIDO琉璃晚霜15ml（新版）</t>
  </si>
  <si>
    <t>资生堂琉璃晚霜新版15</t>
  </si>
  <si>
    <t>资生堂/SHISEIDO悦薇大抗糖面霜（清爽）50ml</t>
  </si>
  <si>
    <t>悦薇抗糖面霜清爽50</t>
  </si>
  <si>
    <t>4909978147105</t>
  </si>
  <si>
    <t>资生堂安耐晒60ml新版</t>
  </si>
  <si>
    <t>PS</t>
    <phoneticPr fontId="3" type="noConversion"/>
  </si>
  <si>
    <t>资生堂安耐晒90ml</t>
  </si>
  <si>
    <t>PS没有多余文字</t>
    <phoneticPr fontId="3" type="noConversion"/>
  </si>
  <si>
    <t>729238103214</t>
  </si>
  <si>
    <t>资生堂百优面霜 75ml</t>
  </si>
  <si>
    <t>资生堂百优面霜75ml</t>
  </si>
  <si>
    <t>768614212317</t>
  </si>
  <si>
    <t>资生堂蓝胖子150ml 新版</t>
  </si>
  <si>
    <t>资生堂蓝胖子150ml新版</t>
  </si>
  <si>
    <t>资生堂蓝胖子防晒50ml</t>
  </si>
  <si>
    <t>资生堂蓝胖子防晒老款黄字50ml</t>
  </si>
  <si>
    <t>729238212831</t>
  </si>
  <si>
    <t>资生堂蓝胖子防晒50ml（新版）</t>
  </si>
  <si>
    <t>资生堂蓝胖子防晒新版50ml</t>
  </si>
  <si>
    <t>729238170131</t>
  </si>
  <si>
    <t>资生堂蓝胖子防晒50ml对装</t>
  </si>
  <si>
    <t>资生堂琉璃洁面125ml</t>
  </si>
  <si>
    <t>729238054141</t>
  </si>
  <si>
    <t>资生堂琉璃洁面50ml新版</t>
  </si>
  <si>
    <t>资生堂琉璃爽肤水74ml新版</t>
  </si>
  <si>
    <t>资生堂琉璃74ml新版</t>
  </si>
  <si>
    <t>资生堂男生爽肤水150ml</t>
  </si>
  <si>
    <t>资生堂男士爽肤水150ml</t>
  </si>
  <si>
    <t>729238171527</t>
  </si>
  <si>
    <t>资生堂男士洁面乳125ml</t>
  </si>
  <si>
    <t>资生堂男士洁面125ml</t>
  </si>
  <si>
    <t>729238171541</t>
  </si>
  <si>
    <t>资生堂男士乳液100ml</t>
  </si>
  <si>
    <t>资生堂悦微清爽水150ml（新版）</t>
  </si>
  <si>
    <t>资生堂悦微清爽水150ml新版</t>
  </si>
  <si>
    <t>729238210448</t>
  </si>
  <si>
    <t>资生堂悦微滋润水150ml（新版）</t>
  </si>
  <si>
    <t>资生堂悦微滋润水150ml新版</t>
  </si>
  <si>
    <t>729238169562</t>
  </si>
  <si>
    <t>资生堂悦薇纯A小针管眼霜20ml</t>
  </si>
  <si>
    <t>资生堂悦薇小针管眼霜20ml</t>
  </si>
  <si>
    <t>资生堂悦薇清爽乳100ml（新版）</t>
  </si>
  <si>
    <t>729238210455</t>
  </si>
  <si>
    <t>690251021734</t>
  </si>
  <si>
    <t>祖玛珑 蓝风铃香水100ml</t>
  </si>
  <si>
    <t>祖玛珑蓝风铃香水100ml</t>
  </si>
  <si>
    <t>祖玛珑鼠尾草与海盐香水30ml</t>
  </si>
  <si>
    <t>规格</t>
  </si>
  <si>
    <t>192333095164</t>
  </si>
  <si>
    <t xml:space="preserve">倩碧水嫩保湿三件套裝 </t>
  </si>
  <si>
    <t>粉霜125ml+眼霜15ml+喷雾30ml</t>
  </si>
  <si>
    <t>3346130415558</t>
  </si>
  <si>
    <t>爱马仕橘绿套盒</t>
  </si>
  <si>
    <t>爱马仕橘绿两件套</t>
  </si>
  <si>
    <t>香水100ml+沐浴露80ml</t>
  </si>
  <si>
    <t>3346130415565</t>
  </si>
  <si>
    <t>爱马仕尼罗河套盒</t>
  </si>
  <si>
    <t>淡香100ml+身体乳80ml</t>
  </si>
  <si>
    <t>3380810156232</t>
  </si>
  <si>
    <t>娇韵诗 多元日晚面霜套装</t>
  </si>
  <si>
    <t>娇韵诗多元日晚面霜套装</t>
  </si>
  <si>
    <t>青春赋活日霜50ml+晚霜50ml</t>
  </si>
  <si>
    <t>https://www.feiyang.hk/product-11293.html</t>
  </si>
  <si>
    <t>蓝粉</t>
  </si>
  <si>
    <t>3380810475364</t>
  </si>
  <si>
    <t>娇韵诗双萃眼霜紧致两件套</t>
  </si>
  <si>
    <t>双萃精华50ml+双萃眼霜20ml</t>
  </si>
  <si>
    <t>3660732534951</t>
    <phoneticPr fontId="3" type="noConversion"/>
  </si>
  <si>
    <t>赫莲娜 黑白绷带日晚面霜套装</t>
  </si>
  <si>
    <t>赫莲娜黑白绷带两件套</t>
  </si>
  <si>
    <t>日霜50ML+晚霜50ML</t>
  </si>
  <si>
    <t>3666057027000</t>
  </si>
  <si>
    <t>娇韵诗 弹簧两件套</t>
  </si>
  <si>
    <t>娇韵诗弹簧两件套</t>
  </si>
  <si>
    <t>日霜50ml+晚霜50ml</t>
  </si>
  <si>
    <t>https://www.wwmall.hk/products/clarins-clarins-brightening-and-firming-day-and-night-cream-set-suitable-for-any-skin-50ml50ml</t>
  </si>
  <si>
    <t>3666057040092</t>
    <phoneticPr fontId="3" type="noConversion"/>
  </si>
  <si>
    <t>娇韵诗 美白三件套</t>
  </si>
  <si>
    <t>娇韵诗美白三件套</t>
  </si>
  <si>
    <t>爽肤水200ml+乳75ml+精华50ml</t>
  </si>
  <si>
    <t>3666057142581</t>
  </si>
  <si>
    <t>娇韵诗弹簧日晚霜清爽型套装</t>
  </si>
  <si>
    <t>娇韵诗弹簧日晚霜两件套</t>
  </si>
  <si>
    <t>3666057142598</t>
  </si>
  <si>
    <t>娇韵诗 弹簧三件套</t>
  </si>
  <si>
    <t>娇韵诗弹簧三件套</t>
  </si>
  <si>
    <t>双萃50ml+日霜50ml+晚霜50ml</t>
  </si>
  <si>
    <t>3666057156236</t>
  </si>
  <si>
    <t>娇韵诗沁润不死鸟日霜晚霜套装</t>
  </si>
  <si>
    <t>娇韵诗不死鸟日晚霜两件套</t>
  </si>
  <si>
    <t>3666057356667</t>
  </si>
  <si>
    <t>娇韵诗 孕妇两件套</t>
  </si>
  <si>
    <t>娇韵诗孕妇两件套</t>
  </si>
  <si>
    <t>护理油100ml+抚纹霜175ml</t>
  </si>
  <si>
    <t>4894374017971</t>
  </si>
  <si>
    <t>碧欧泉 男士水动力3件套</t>
  </si>
  <si>
    <t>碧欧泉男士水动力3件套</t>
  </si>
  <si>
    <t>水200ml+乳100ml+洁面125ml</t>
  </si>
  <si>
    <t>4894374278266</t>
  </si>
  <si>
    <t>兰蔻 菁纯臻颜三件套</t>
  </si>
  <si>
    <t>兰蔻菁纯三件套</t>
  </si>
  <si>
    <t>精华水150ml+菁纯乳霜60ml+眼霜20ml</t>
  </si>
  <si>
    <t>4894374349805</t>
  </si>
  <si>
    <t>欧莱雅 复颜视黄醇精粹抗皱套装</t>
  </si>
  <si>
    <t>欧莱雅复颜抗皱紧致三件套</t>
  </si>
  <si>
    <t>日霜50ml+晚霜50ml+眼霜15ml</t>
  </si>
  <si>
    <t>4894374551642</t>
  </si>
  <si>
    <t>赫莲娜绿宝瓶舒缓修护套装</t>
  </si>
  <si>
    <t>赫莲娜悦活蓄能三件套</t>
  </si>
  <si>
    <t>新肌水200ml+绿宝瓶50ml+绿宝瓶乳霜50ml</t>
  </si>
  <si>
    <t>4894374618772</t>
  </si>
  <si>
    <t>赫莲娜修护舒缓琉光三件套</t>
  </si>
  <si>
    <t>赫莲娜小王炸套盒</t>
  </si>
  <si>
    <t>黑绷带50ml+绿宝瓶精华100ml+高光眼霜15ml</t>
  </si>
  <si>
    <t>4953923310878</t>
  </si>
  <si>
    <t>POLA B.A 眼霜套盒</t>
  </si>
  <si>
    <t>宝丽黑BA眼霜套盒</t>
  </si>
  <si>
    <t>眼霜26g+化妆水8ml+乳液8ml</t>
  </si>
  <si>
    <t>4971710499049</t>
  </si>
  <si>
    <t>黛珂AQ舒活基础赋活礼盒</t>
  </si>
  <si>
    <t>AQ舒活基础赋活套装</t>
  </si>
  <si>
    <t>水200ml+乳200ml+霜25g</t>
  </si>
  <si>
    <t>4971710518689</t>
  </si>
  <si>
    <t>黛珂 AQ白檀舒活光韵保养套盒</t>
  </si>
  <si>
    <t>黛珂AQ白檀修复水乳带洁面三件套</t>
  </si>
  <si>
    <t>清爽水200ml/+清爽乳200ml/+白洁面乳125g</t>
  </si>
  <si>
    <t>4971710518696</t>
  </si>
  <si>
    <t>黛珂 植物韵律三件套滋润版</t>
  </si>
  <si>
    <t>黛珂韵律清爽型三件套</t>
  </si>
  <si>
    <t>水200ml+乳200ml+洁面200ml</t>
  </si>
  <si>
    <t>4971710570120</t>
  </si>
  <si>
    <t>黛珂 植物韵律三件套清爽版</t>
  </si>
  <si>
    <t>黛珂韵律滋润型三件套</t>
  </si>
  <si>
    <t>4979006091236</t>
    <phoneticPr fontId="3" type="noConversion"/>
  </si>
  <si>
    <t>SK2多方位三件套</t>
  </si>
  <si>
    <t>神仙水230ML，清莹露230ML，晶致乳液100ML</t>
  </si>
  <si>
    <t>729238190092</t>
  </si>
  <si>
    <t>资生堂红腰子套装</t>
  </si>
  <si>
    <t>资生堂红腰子三件套</t>
  </si>
  <si>
    <t>精华100ml+洁面125ml+水150ml</t>
  </si>
  <si>
    <t>729238211896</t>
  </si>
  <si>
    <t>CPB肌肤之钥基础护理修护霜套装</t>
  </si>
  <si>
    <t>CPB基础保养精华乳组套</t>
  </si>
  <si>
    <t>精华水170ML+日霜50ML+夜霜50ML</t>
  </si>
  <si>
    <t>747930150060</t>
  </si>
  <si>
    <t xml:space="preserve">海蓝之谜焕采水润套装 </t>
  </si>
  <si>
    <t>绿眼霜15ml+面霜100ml</t>
  </si>
  <si>
    <t>809280161346</t>
  </si>
  <si>
    <t>馥蕾诗紅茶三件套</t>
  </si>
  <si>
    <t>精华50ML+面霜50ml+眼霜15ml</t>
  </si>
  <si>
    <t>8801051241426</t>
  </si>
  <si>
    <t>后拱辰享美白套盒</t>
  </si>
  <si>
    <t>后拱辰享美白三件套</t>
  </si>
  <si>
    <t>雪玉凝平衡水150m1+平衡乳110m1+面霜 30ml，赠品：平衡水20+平衡乳20ml+洁面乳13ml</t>
  </si>
  <si>
    <t>8801051242133</t>
  </si>
  <si>
    <t>后水妍两件套盒</t>
  </si>
  <si>
    <t>水150ml+乳110ml，赠品：面霜4ml+乳20ml洁面40ml+水20ml</t>
  </si>
  <si>
    <t>8801051268171</t>
  </si>
  <si>
    <t>后天气丹华泫套盒</t>
  </si>
  <si>
    <t>后天气丹光耀焕活紧颜系列3件套礼盒</t>
  </si>
  <si>
    <t>8801051501025</t>
  </si>
  <si>
    <t>后天率丹两件套</t>
  </si>
  <si>
    <t>和率提拉滋养液150ml+和率提拉滋养乳110ml，赠品：滋养液25ml+滋养乳25ml+精华液8ml+滋养霜10ml</t>
  </si>
  <si>
    <t>8801051657609</t>
  </si>
  <si>
    <t>后津率享两件套</t>
  </si>
  <si>
    <t>水150ml+乳110ml+水20ml+乳20ml+面霜30ml+精华8ml+眼霜4ml</t>
  </si>
  <si>
    <t>8809925132849</t>
  </si>
  <si>
    <t>雪花秀滋盈肌本舒活2件套 318ml</t>
  </si>
  <si>
    <t>雪花秀滋盈肌本舒活2件套</t>
  </si>
  <si>
    <t>水150ml+乳125ml，赠品：水15ml+乳15ml+精华8ml+面霜5ml</t>
  </si>
  <si>
    <t>8809925200685</t>
    <phoneticPr fontId="3" type="noConversion"/>
  </si>
  <si>
    <t>雪花秀顺行三件套 575ml</t>
  </si>
  <si>
    <t>雪花秀顺行三件套</t>
  </si>
  <si>
    <t>水150ml+乳液125ml+洁面200ml+水35ml+乳液35ml+面霜15ml+精华液15ml</t>
  </si>
  <si>
    <t>887167386655</t>
  </si>
  <si>
    <t>雅诗兰黛 红石榴护肤3件套</t>
  </si>
  <si>
    <t>雅诗兰黛红石榴护肤3件套</t>
  </si>
  <si>
    <t>洗面奶125ml+水200ml+面霜50ml</t>
  </si>
  <si>
    <t>https://www.sunrisetrading.com.cn/cn/product/887167386655.html</t>
  </si>
  <si>
    <t>887167571068</t>
  </si>
  <si>
    <t>雅诗兰黛抗衰老三件套</t>
  </si>
  <si>
    <t>原生液200ml+智妍清爽面霜75ml+特润50ml</t>
  </si>
  <si>
    <t>887167612136</t>
  </si>
  <si>
    <t>雅诗兰黛 抗衰老五件套</t>
  </si>
  <si>
    <t>雅诗兰黛抗衰老五件套</t>
  </si>
  <si>
    <t>洁面150ml+原生液100ml+精华50ml+智妍面霜75ml+眼霜15ml</t>
  </si>
  <si>
    <t>8801051745979</t>
  </si>
  <si>
    <t>后Whoo拱辰享气韵生水乳六件套</t>
  </si>
  <si>
    <t>后拱辰享水妍两件套</t>
  </si>
  <si>
    <t>后拱辰享水妍两件套（水150ml+20ml+乳110ml+20ml+霜4ml+洁面40ml）</t>
  </si>
  <si>
    <t>8801051240931</t>
    <phoneticPr fontId="3" type="noConversion"/>
  </si>
  <si>
    <t>whoo后男士套装拱辰享君王套盒</t>
  </si>
  <si>
    <t>后男士两件套</t>
  </si>
  <si>
    <t>君滋养液140ml+20ml+滋养乳100ml+20ml+洗面奶40ml</t>
  </si>
  <si>
    <t>8801051242157</t>
  </si>
  <si>
    <t>后Whoo拱辰享水妍保湿三件套</t>
  </si>
  <si>
    <t>后拱辰享水妍三件套</t>
  </si>
  <si>
    <t>正装:水150ml+乳110ml+面霜30ml 赠品:水20ml+乳20ml+洁面13ml</t>
  </si>
  <si>
    <t>8809949491007</t>
  </si>
  <si>
    <t>后津率享水乳三件套</t>
  </si>
  <si>
    <t>后津率享三件套</t>
  </si>
  <si>
    <t>水150ml+乳110ml+面霜30ml 赠品：水乳各20ml，精华液10ml，眼霜4ml</t>
  </si>
  <si>
    <t>没有符合条件的商品</t>
    <phoneticPr fontId="3" type="noConversion"/>
  </si>
  <si>
    <t>8809949513211</t>
  </si>
  <si>
    <t>天气丹新款八件套</t>
  </si>
  <si>
    <t>天气丹pro三件套新版带洁面</t>
  </si>
  <si>
    <t>正装水150ml+乳110ml+面霜25ml
赠品：水乳各25ml+眼霜5ml+美白精华8ml</t>
  </si>
  <si>
    <t>4894374724244</t>
  </si>
  <si>
    <t>赫莲娜绿宝瓶三件套</t>
  </si>
  <si>
    <t>洁面125ml+水200ml+精华50ml</t>
  </si>
  <si>
    <t>4979006091250</t>
    <phoneticPr fontId="3" type="noConversion"/>
  </si>
  <si>
    <t>SK2 PITERA基础护肤套组 (神仙水精华230ml+清莹露230ml 护肤套装)</t>
  </si>
  <si>
    <t>SK2基础护肤套盒</t>
  </si>
  <si>
    <t>神仙水230ml+清莹露230ml</t>
  </si>
  <si>
    <t>8801051248708</t>
    <phoneticPr fontId="3" type="noConversion"/>
  </si>
  <si>
    <t>后Whoo拱辰享雪美白两件套</t>
  </si>
  <si>
    <t>后拱辰享美白两件套</t>
  </si>
  <si>
    <t>水150ml+乳110ml+水20ml+乳20ml+面霜4ml+津膏4ml+洁面13ml/套</t>
  </si>
  <si>
    <t>8801051582710</t>
    <phoneticPr fontId="3" type="noConversion"/>
  </si>
  <si>
    <t>后Whoo拱辰享美黄金气垫13G+替换装13G*2#21</t>
  </si>
  <si>
    <t>Whoo后拱辰享美黄金气垫粉底液#21正装+带双替换</t>
  </si>
  <si>
    <t>气垫正装13G+替换装13G*2#21</t>
  </si>
  <si>
    <t>4894374299193</t>
  </si>
  <si>
    <t>Kiehls科颜氏男士保湿三件套</t>
  </si>
  <si>
    <t>科颜氏男士保湿三件套</t>
  </si>
  <si>
    <t>啫喱250ml+水250ml+乳125ml</t>
  </si>
  <si>
    <t>上次价格</t>
    <phoneticPr fontId="3" type="noConversion"/>
  </si>
  <si>
    <t>价格</t>
    <phoneticPr fontId="3" type="noConversion"/>
  </si>
  <si>
    <t>淡香</t>
    <phoneticPr fontId="3" type="noConversion"/>
  </si>
  <si>
    <t>海蓝之谜 臻璨焕活精华油30ml （万能油）</t>
  </si>
  <si>
    <t>海蓝之谜万能油30ML</t>
  </si>
  <si>
    <t>SK2大红瓶清爽版80g</t>
  </si>
  <si>
    <t>SK2大红瓶滋润版80g</t>
  </si>
  <si>
    <t>古驰倾色绒雾唇膏505（金色短管）</t>
  </si>
  <si>
    <t>古驰倾色绒雾唇膏505</t>
  </si>
  <si>
    <t>古驰倾色云雾唇釉505（红色长管）</t>
  </si>
  <si>
    <t>古驰倾色云雾唇釉505</t>
  </si>
  <si>
    <t>729238214316</t>
  </si>
  <si>
    <t>729238161849</t>
  </si>
  <si>
    <t>773602564279</t>
  </si>
  <si>
    <t>3614223487295</t>
  </si>
  <si>
    <t>NARS超方瓶粉底液L4</t>
  </si>
  <si>
    <t>194251070421</t>
  </si>
  <si>
    <t>194251070346</t>
  </si>
  <si>
    <t>194251075945</t>
  </si>
  <si>
    <t>194251004013</t>
  </si>
  <si>
    <t>194251130750</t>
  </si>
  <si>
    <t>194251133614</t>
  </si>
  <si>
    <t>4979006070064</t>
    <phoneticPr fontId="6" type="noConversion"/>
  </si>
  <si>
    <t>4979006052404</t>
  </si>
  <si>
    <t>SK2神仙水330ML</t>
  </si>
  <si>
    <t>SK2神仙水330</t>
  </si>
  <si>
    <t>4979006053982</t>
  </si>
  <si>
    <t>4979006070095</t>
  </si>
  <si>
    <t>SK-II 小银瓶淡斑精华露75ml</t>
  </si>
  <si>
    <t>SK2小银瓶75</t>
  </si>
  <si>
    <t>4979006100938</t>
  </si>
  <si>
    <t>SK2小灯泡精华露50ml*2</t>
  </si>
  <si>
    <t>888066105828</t>
  </si>
  <si>
    <t>888066135948</t>
  </si>
  <si>
    <t>888066140812</t>
  </si>
  <si>
    <t>TF幻魅四色眼影盘#GOLDEN MINK</t>
  </si>
  <si>
    <t>888066161503</t>
  </si>
  <si>
    <t>888066024099</t>
  </si>
  <si>
    <t>4902424449884</t>
  </si>
  <si>
    <t>YSL黑管唇釉416</t>
  </si>
  <si>
    <t>4935421768535</t>
  </si>
  <si>
    <t>4935421768504</t>
  </si>
  <si>
    <t>3365440787919</t>
  </si>
  <si>
    <t>3614274128291</t>
  </si>
  <si>
    <t>3614272648401</t>
  </si>
  <si>
    <t>YSL自由之水浓香型30ml</t>
  </si>
  <si>
    <t>3614272648418</t>
  </si>
  <si>
    <t>3614273955546</t>
  </si>
  <si>
    <t>3614272742574</t>
  </si>
  <si>
    <t>3614273325479</t>
  </si>
  <si>
    <t>3614273429498</t>
  </si>
  <si>
    <t>3346131101375</t>
  </si>
  <si>
    <t>716170027456</t>
  </si>
  <si>
    <t>716170196657</t>
  </si>
  <si>
    <t>7340032860931</t>
  </si>
  <si>
    <t>4524734413517</t>
  </si>
  <si>
    <t>4971710372274</t>
  </si>
  <si>
    <t>4971710364439</t>
  </si>
  <si>
    <t>4971710524314</t>
  </si>
  <si>
    <t>4971710524611</t>
  </si>
  <si>
    <t>黛珂AQ白檀清爽水200</t>
  </si>
  <si>
    <t>黛珂AQ舒活白檀美白乳液200ml</t>
  </si>
  <si>
    <t>黛珂AQ舒活白檀美白单乳200</t>
  </si>
  <si>
    <t>4971710367010</t>
  </si>
  <si>
    <t>4971710371833</t>
  </si>
  <si>
    <t>4971710377224</t>
  </si>
  <si>
    <t>4971710378474</t>
  </si>
  <si>
    <t>4971710378412</t>
  </si>
  <si>
    <t>4971710360516</t>
  </si>
  <si>
    <t>4971710569995</t>
  </si>
  <si>
    <t>8000500016169</t>
  </si>
  <si>
    <t>8801051242805</t>
  </si>
  <si>
    <t>8005610481043</t>
  </si>
  <si>
    <t>3616304126345</t>
  </si>
  <si>
    <t>3616305169259</t>
  </si>
  <si>
    <t>3616303311339</t>
    <phoneticPr fontId="6" type="noConversion"/>
  </si>
  <si>
    <t>3614229374827</t>
    <phoneticPr fontId="6" type="noConversion"/>
  </si>
  <si>
    <t>737052339207</t>
  </si>
  <si>
    <t>747930112433</t>
  </si>
  <si>
    <t>747930039525</t>
  </si>
  <si>
    <t>747930013549</t>
  </si>
  <si>
    <t>3614274101584</t>
  </si>
  <si>
    <t>3614273785211</t>
  </si>
  <si>
    <t>8801051242515</t>
  </si>
  <si>
    <t>8801051657616</t>
  </si>
  <si>
    <t>8801051241709</t>
  </si>
  <si>
    <t>3274872429192</t>
  </si>
  <si>
    <t>3666057229862</t>
  </si>
  <si>
    <t>3666057106965</t>
  </si>
  <si>
    <t>科颜氏白泥面膜125ml 24款</t>
  </si>
  <si>
    <t>科颜氏白泥面膜125 24款</t>
  </si>
  <si>
    <t>3605975028799</t>
  </si>
  <si>
    <t>3605971990410</t>
  </si>
  <si>
    <t>3605970363307</t>
  </si>
  <si>
    <t>3605970360757</t>
  </si>
  <si>
    <t>科颜氏高保湿滋润面霜50ml滋润</t>
  </si>
  <si>
    <t>3605972427670</t>
  </si>
  <si>
    <t>3605972831439</t>
  </si>
  <si>
    <t>3605972831552</t>
  </si>
  <si>
    <t>3605972866349</t>
  </si>
  <si>
    <t>3605971512612</t>
  </si>
  <si>
    <t>3614274039634</t>
  </si>
  <si>
    <t>3614274145250</t>
  </si>
  <si>
    <t>3147758029406</t>
  </si>
  <si>
    <t>3614274187922</t>
  </si>
  <si>
    <t>3605521932464</t>
  </si>
  <si>
    <t>3700591201356</t>
  </si>
  <si>
    <t>3614273984669</t>
  </si>
  <si>
    <t>3614273984911</t>
  </si>
  <si>
    <t>4987176076663</t>
  </si>
  <si>
    <t>8806076005725</t>
  </si>
  <si>
    <t>伟博金萃高纯度鱼油1100毫克Omega-3 60粒</t>
  </si>
  <si>
    <t>27131987840</t>
  </si>
  <si>
    <t>887167529502</t>
  </si>
  <si>
    <t>887167570153</t>
  </si>
  <si>
    <t>887167727823</t>
  </si>
  <si>
    <t>729238156784</t>
  </si>
  <si>
    <t>729238212558</t>
  </si>
  <si>
    <t>729238054165</t>
  </si>
  <si>
    <t>729238208506</t>
  </si>
  <si>
    <t>729238210431</t>
  </si>
  <si>
    <t>729238210462</t>
  </si>
  <si>
    <t>资生堂悦薇滋润乳100ml（新版）</t>
  </si>
  <si>
    <t>资生堂悦薇滋润单乳100ml新版</t>
  </si>
  <si>
    <t>资生堂悦薇清爽单乳100ml新版</t>
  </si>
  <si>
    <t>690251033720</t>
  </si>
  <si>
    <t>3614273755122</t>
  </si>
  <si>
    <t>3614274306620</t>
  </si>
  <si>
    <t>3614273755146</t>
  </si>
  <si>
    <t>3614273325493</t>
  </si>
  <si>
    <t>3614273868327</t>
  </si>
  <si>
    <t>3616302022489</t>
  </si>
  <si>
    <t>4953923308059</t>
  </si>
  <si>
    <t>3614273574976</t>
  </si>
  <si>
    <t>837601855663</t>
  </si>
  <si>
    <t>695215758193</t>
  </si>
  <si>
    <t>799216566606</t>
  </si>
  <si>
    <t>4935421708654</t>
  </si>
  <si>
    <t>729238210240</t>
  </si>
  <si>
    <t>729238103207</t>
  </si>
  <si>
    <t>8011003861408</t>
  </si>
  <si>
    <t>8011003996766</t>
  </si>
  <si>
    <t>8011530840006</t>
  </si>
  <si>
    <t>3614228174237</t>
  </si>
  <si>
    <t>737052925073</t>
  </si>
  <si>
    <t>古驰 竹韵女士香水浓香型50ml</t>
  </si>
  <si>
    <t>3666057202506</t>
  </si>
  <si>
    <t>3666057031076</t>
  </si>
  <si>
    <t>3253581771013</t>
  </si>
  <si>
    <t>729238171640</t>
  </si>
  <si>
    <t>8000500012499</t>
  </si>
  <si>
    <t>4936968808371</t>
  </si>
  <si>
    <t>3614274140637</t>
  </si>
  <si>
    <t>4979006644029</t>
  </si>
  <si>
    <t>4979006070132</t>
  </si>
  <si>
    <t>4979006116519</t>
  </si>
  <si>
    <t>3614274173000</t>
  </si>
  <si>
    <t>3614274142334</t>
  </si>
  <si>
    <t>3346130009610</t>
  </si>
  <si>
    <t>3614273984454</t>
  </si>
  <si>
    <t>3614274403183</t>
  </si>
  <si>
    <t>4935421768580</t>
  </si>
  <si>
    <t>3614273557931</t>
  </si>
  <si>
    <t>古驰花悦绽放女士淡香型香水50ml</t>
  </si>
  <si>
    <t>773602643554</t>
  </si>
  <si>
    <t>4971710570069</t>
  </si>
  <si>
    <t>3616303470791</t>
  </si>
  <si>
    <t>3616302022472</t>
  </si>
  <si>
    <t>4979006116465</t>
  </si>
  <si>
    <t>4979006064766</t>
  </si>
  <si>
    <t>4979006101355</t>
  </si>
  <si>
    <t>8801051268683</t>
  </si>
  <si>
    <t>888066119764</t>
  </si>
  <si>
    <t>4979006085747</t>
  </si>
  <si>
    <t>4979006028379</t>
  </si>
  <si>
    <t>3274872455153</t>
  </si>
  <si>
    <t>887167636361</t>
  </si>
  <si>
    <t>4979006101409</t>
  </si>
  <si>
    <t>809280018572</t>
  </si>
  <si>
    <t>809280153266</t>
  </si>
  <si>
    <t>馥蕾诗红茶紧致面霜50ml</t>
    <phoneticPr fontId="6" type="noConversion"/>
  </si>
  <si>
    <t>809280164279</t>
  </si>
  <si>
    <t>809280169472</t>
  </si>
  <si>
    <t>809280160356</t>
  </si>
  <si>
    <t>887167456709</t>
  </si>
  <si>
    <t>887167539556</t>
  </si>
  <si>
    <t>3700194719104</t>
  </si>
  <si>
    <t>娇韵诗第九代全新双萃焕活修护精华 100ML</t>
  </si>
  <si>
    <t>4909978124410</t>
  </si>
  <si>
    <t>4909978148324</t>
  </si>
  <si>
    <t>安耐晒金钻高效防晒90ml</t>
  </si>
  <si>
    <t xml:space="preserve">3614272140103 </t>
  </si>
  <si>
    <t>3380810404722</t>
  </si>
  <si>
    <t xml:space="preserve">3614273831215 </t>
  </si>
  <si>
    <t xml:space="preserve">3614273946902 </t>
  </si>
  <si>
    <t>YSL圣罗兰黑金方管13色</t>
  </si>
  <si>
    <t xml:space="preserve">3614273946896 </t>
  </si>
  <si>
    <t xml:space="preserve">4935421761734 </t>
  </si>
  <si>
    <t xml:space="preserve">20714598907 </t>
  </si>
  <si>
    <t>747930140054</t>
  </si>
  <si>
    <t>4979006113136</t>
  </si>
  <si>
    <t>4979006113044</t>
  </si>
  <si>
    <t>887167610637</t>
  </si>
  <si>
    <t>雅诗兰黛ESTEE LAUDER新版红石榴能量水清爽型 200ML</t>
  </si>
  <si>
    <t>雅诗兰黛新版红石榴水清爽200ml</t>
  </si>
  <si>
    <t>4979006120806</t>
  </si>
  <si>
    <t>SK-II 小银瓶精华50ML</t>
  </si>
  <si>
    <t>sk2小银瓶50ml</t>
  </si>
  <si>
    <t>3605521490919</t>
  </si>
  <si>
    <t>阿玛尼大师粉底液2号</t>
  </si>
  <si>
    <t>没有合适的商品</t>
    <phoneticPr fontId="3" type="noConversion"/>
  </si>
  <si>
    <t>圆形</t>
    <phoneticPr fontId="3" type="noConversion"/>
  </si>
  <si>
    <t>圆台</t>
    <phoneticPr fontId="3" type="noConversion"/>
  </si>
  <si>
    <t>1447补贴后</t>
    <phoneticPr fontId="3" type="noConversion"/>
  </si>
  <si>
    <t>是</t>
  </si>
  <si>
    <t>1270.0</t>
  </si>
  <si>
    <t>518.0</t>
  </si>
  <si>
    <t>天气丹水150ml+25ml+乳110ml+25ml+精华10ml+滋养面霜25ml+眼霜8ml</t>
    <phoneticPr fontId="3" type="noConversion"/>
  </si>
  <si>
    <t>4979006068641</t>
    <phoneticPr fontId="6" type="noConversion"/>
  </si>
  <si>
    <t>4979006120820</t>
    <phoneticPr fontId="6" type="noConversion"/>
  </si>
  <si>
    <t>3614271641922</t>
    <phoneticPr fontId="6" type="noConversion"/>
  </si>
  <si>
    <t>3614274226553</t>
    <phoneticPr fontId="6" type="noConversion"/>
  </si>
  <si>
    <t>4935421738965</t>
    <phoneticPr fontId="6" type="noConversion"/>
  </si>
  <si>
    <t>YSL圣罗兰皮气垫新明彩亮润轻垫粉底液 #B20</t>
  </si>
  <si>
    <t>4936968808395</t>
    <phoneticPr fontId="6" type="noConversion"/>
  </si>
  <si>
    <t>3346470620339</t>
  </si>
  <si>
    <t>娇兰第四代复原蜜精华50ml</t>
  </si>
  <si>
    <t>娇兰第四代复原蜜50ml</t>
  </si>
  <si>
    <t>3660732531868</t>
    <phoneticPr fontId="6" type="noConversion"/>
  </si>
  <si>
    <t>娇韵诗双萃眼霜20ml</t>
  </si>
  <si>
    <t>兰蔻菁纯眼霜20ml*2</t>
  </si>
  <si>
    <t>3346470616172</t>
    <phoneticPr fontId="6" type="noConversion"/>
  </si>
  <si>
    <t>娇兰帝皇蜂姿第三代黄金复原蜜50ML</t>
  </si>
  <si>
    <t>3346470619289</t>
    <phoneticPr fontId="6" type="noConversion"/>
  </si>
  <si>
    <t>4979006595840</t>
    <phoneticPr fontId="6" type="noConversion"/>
  </si>
  <si>
    <t>4979006090956</t>
    <phoneticPr fontId="6" type="noConversion"/>
  </si>
  <si>
    <t>3614274169706</t>
  </si>
  <si>
    <t>Lancome兰蔻美丽人生馥郁版100ml</t>
  </si>
  <si>
    <t>兰蔻 美丽人生 馥郁100</t>
  </si>
  <si>
    <t>3614274169713</t>
  </si>
  <si>
    <t>Lancome兰蔻美丽人生馥郁版50ml</t>
  </si>
  <si>
    <t>兰蔻 美丽人生 馥郁50</t>
  </si>
  <si>
    <t>3614274169690</t>
  </si>
  <si>
    <t>兰蔻 美丽人生香氛精华香水 50ml</t>
  </si>
  <si>
    <t>兰蔻 美丽人生 淡香50</t>
  </si>
  <si>
    <t>3614272629400</t>
  </si>
  <si>
    <t>Lancome/兰蔻是我IDOLE偶像香水 50ml</t>
  </si>
  <si>
    <t>兰蔻 是我IDOLE偶像 50</t>
  </si>
  <si>
    <t>3614274299229</t>
  </si>
  <si>
    <t>Lancome 兰蔻是我 浓情版 100ml</t>
  </si>
  <si>
    <t>兰蔻 是我 浓100</t>
  </si>
  <si>
    <t xml:space="preserve">3616303048181 </t>
  </si>
  <si>
    <t>GUCCI 香水 茉莉100ML</t>
  </si>
  <si>
    <t>古驰绮梦茉莉100</t>
  </si>
  <si>
    <t xml:space="preserve">3346132600013 </t>
  </si>
  <si>
    <t>李先生的花园(Le Jardin de Monsieur Li)，淡香水，100 ml</t>
  </si>
  <si>
    <t>爱马仕 李先生的花园 淡香100</t>
  </si>
  <si>
    <t xml:space="preserve">3346130009382 </t>
  </si>
  <si>
    <t>绯红火参古龙水（Eau de rhubarbe écarlate）, 古龍水, 100 ml</t>
  </si>
  <si>
    <t>爱马仕 绯红火参 100</t>
  </si>
  <si>
    <t xml:space="preserve">194251133737 </t>
  </si>
  <si>
    <t>NARS小粉金细管唇膏1.5G #321 Turned on</t>
  </si>
  <si>
    <t>NARS小粉金细管唇膏#321 Turned on</t>
  </si>
  <si>
    <t xml:space="preserve">773602684854 </t>
  </si>
  <si>
    <t>MAC 丝柔哑光唇膏 #646 MARRAKESH 肉桂红茶</t>
  </si>
  <si>
    <t>MAC 646 MARRAKESH</t>
  </si>
  <si>
    <t xml:space="preserve">747930094869 </t>
  </si>
  <si>
    <t>LAMER海蓝之谜调理焕肤液100ml</t>
  </si>
  <si>
    <t>海蓝之谜 调理焕肤液100</t>
  </si>
  <si>
    <t xml:space="preserve">773602710683 </t>
  </si>
  <si>
    <t>MAC魅可保湿定妆喷雾Fix+100mL</t>
  </si>
  <si>
    <t>MAC保湿定妆喷雾Fix+ 100</t>
  </si>
  <si>
    <t xml:space="preserve">773602455942 </t>
  </si>
  <si>
    <t>MAC妆前保湿精华乳100ML</t>
  </si>
  <si>
    <t xml:space="preserve">773602643387 </t>
  </si>
  <si>
    <t>MAC 无暇粉底液NC12 30ML</t>
  </si>
  <si>
    <t xml:space="preserve">887167610620 </t>
  </si>
  <si>
    <t>雅诗兰黛 红石榴面霜50ml</t>
  </si>
  <si>
    <t xml:space="preserve">887167610606 </t>
  </si>
  <si>
    <t>雅诗兰黛 红石榴洁面125ml</t>
  </si>
  <si>
    <t xml:space="preserve">729238145290 </t>
  </si>
  <si>
    <t>资生堂/SHISEIDO红腰子洁面125ml</t>
  </si>
  <si>
    <t>资生堂红腰子洁面125ml</t>
  </si>
  <si>
    <t xml:space="preserve">729238222823 </t>
  </si>
  <si>
    <t>资生堂/SHISEIDO悦薇抗糖眼霜（新版）15ml</t>
  </si>
  <si>
    <t>资生堂悦薇抗糖眼霜新15ml</t>
  </si>
  <si>
    <t xml:space="preserve">729238208575 </t>
  </si>
  <si>
    <t>资生堂/SHISEIDO盼丽风姿眼霜（新款）15ml</t>
  </si>
  <si>
    <t>资生堂盼丽风姿眼霜新15ml</t>
  </si>
  <si>
    <t xml:space="preserve">887167495203 </t>
  </si>
  <si>
    <t>ESTEE LAUDER /雅诗兰黛 DW持妆粉底液 #1C1 30ML 新版 2026年</t>
  </si>
  <si>
    <t>雅诗兰黛 DW持妆粉底液 #1C1 30ML 新</t>
  </si>
  <si>
    <t xml:space="preserve">887167495586 </t>
  </si>
  <si>
    <t>ESTEE LAUDER /雅诗兰黛 DW持妆粉底液 #1N2 30ML 新版 2026</t>
  </si>
  <si>
    <t>雅诗兰黛 DW持妆粉底液 #1N2 30ML 新</t>
  </si>
  <si>
    <t xml:space="preserve">887167495241 </t>
  </si>
  <si>
    <t>ESTEE LAUDER /雅诗兰黛 DW持妆粉底液 #1N1 30ML 新版 2026</t>
  </si>
  <si>
    <t>雅诗兰黛 DW持妆粉底液 #1N1 30ML 新</t>
  </si>
  <si>
    <t xml:space="preserve">773602685530 </t>
  </si>
  <si>
    <t>MAC魅可 丝柔哑光唇膏 大子弹口红#666 Sweet Deal 玫瑰冷萃</t>
  </si>
  <si>
    <t>MAC大子弹口红666</t>
  </si>
  <si>
    <t xml:space="preserve">8809803564977 </t>
  </si>
  <si>
    <t>Laneige Skin Veil Base_EX No.40 30ml紫色</t>
  </si>
  <si>
    <t>兰芝马卡龙隔离30ml紫色</t>
  </si>
  <si>
    <t xml:space="preserve">8809803564984 </t>
  </si>
  <si>
    <t>Laneige Skin Veil Base_EX No.60 30ml绿色</t>
  </si>
  <si>
    <t>兰芝马卡龙隔离30ml绿色</t>
  </si>
  <si>
    <t xml:space="preserve">729238209978 </t>
  </si>
  <si>
    <t>资生堂 悦薇大抗糖滋润面霜（新款）50mL</t>
  </si>
  <si>
    <t>资生堂悦薇抗糖滋润面霜新50mL</t>
  </si>
  <si>
    <t xml:space="preserve">607845058946 </t>
  </si>
  <si>
    <t>NARS蜜粉饼5894 效期24年</t>
  </si>
  <si>
    <t>NARS大白蜜粉饼5894</t>
  </si>
  <si>
    <t xml:space="preserve">8809949538658 </t>
  </si>
  <si>
    <t>WHOO/后拱辰享洁面泡沫180ml/支 （新条码）</t>
  </si>
  <si>
    <t>后拱辰享洁面泡沫180ml新</t>
  </si>
  <si>
    <t xml:space="preserve">729238224490 </t>
  </si>
  <si>
    <t>SHISEIDO资生堂红腰子精华100ml</t>
  </si>
  <si>
    <t>资生堂红腰子精华100ml</t>
  </si>
  <si>
    <t xml:space="preserve">3614229391596 </t>
  </si>
  <si>
    <t>古驰炼金师花园香草颂香水100ML</t>
  </si>
  <si>
    <t>古驰炼金术香草颂100ML</t>
  </si>
  <si>
    <t xml:space="preserve">3616305169372 </t>
  </si>
  <si>
    <t>古驰炼金师花园沐光橙香水100ML</t>
  </si>
  <si>
    <t>古驰炼金术沐光橙100ML</t>
  </si>
  <si>
    <t xml:space="preserve">3605521932105 </t>
  </si>
  <si>
    <t>马丁马吉拉-爵士酒廊淡香100ml</t>
  </si>
  <si>
    <t>马丁马吉拉爵士酒廊淡香100ml</t>
  </si>
  <si>
    <t xml:space="preserve">3614274226478 </t>
  </si>
  <si>
    <t>YSL新款爱心唇釉610#</t>
  </si>
  <si>
    <t>YSL爱心唇釉610新</t>
  </si>
  <si>
    <t xml:space="preserve">783320425004 </t>
  </si>
  <si>
    <t>宝格丽白茶淡香150ml</t>
  </si>
  <si>
    <t xml:space="preserve">4935421773249 </t>
  </si>
  <si>
    <t>植村秀绿茶卸妆油150ml</t>
  </si>
  <si>
    <t xml:space="preserve">194251132068 </t>
  </si>
  <si>
    <t>NARS 水光绚色液体腮红 西柚奶桃 BRAZEN 7ml</t>
  </si>
  <si>
    <t>NARS 液体腮红BRAZEN 西柚奶桃7ml</t>
  </si>
  <si>
    <t xml:space="preserve">194251132037 </t>
  </si>
  <si>
    <t>NARS 水光绚色液体腮红 烟粉豆沙色 BEHAVE 7ml</t>
  </si>
  <si>
    <t>NARS液体腮红 BEHAVE烟粉豆沙色 7ml</t>
  </si>
  <si>
    <t xml:space="preserve">690251145607 </t>
  </si>
  <si>
    <t>Jo Malone祖玛珑英国梨与豌豆花香水30ml</t>
  </si>
  <si>
    <t>祖玛珑英国梨与豌豆花香水30ml</t>
  </si>
  <si>
    <t xml:space="preserve">4894374746444 </t>
  </si>
  <si>
    <t>兰蔻清爽防晒双支装50ml*2 新版</t>
  </si>
  <si>
    <t>兰蔻清爽防晒双支装50ml对装新</t>
  </si>
  <si>
    <t xml:space="preserve">3616305910578 </t>
  </si>
  <si>
    <t>古驰炼金师花园狮之心香水100ML</t>
  </si>
  <si>
    <t>古驰炼金术狮之心100ML</t>
  </si>
  <si>
    <t xml:space="preserve">3616305261816 </t>
  </si>
  <si>
    <t>古驰炼金师花园桂之舞香水100ML</t>
  </si>
  <si>
    <t>古驰炼金术桂之舞100ML</t>
  </si>
  <si>
    <t xml:space="preserve">194251132075 </t>
  </si>
  <si>
    <t>NARS AFTERGLOW LIQUID BLUSH - INSATIABLE</t>
  </si>
  <si>
    <t>NARS液体腮红 INSATIABLE</t>
  </si>
  <si>
    <t xml:space="preserve">194251146317 </t>
  </si>
  <si>
    <t>NARS THE MULTIPLE TRANCE 8G</t>
  </si>
  <si>
    <t>NARS多功能腮红棒TRANCE 8G</t>
  </si>
  <si>
    <t xml:space="preserve">194251151052 </t>
  </si>
  <si>
    <t>NARS THE MULTIPLE HOT TAKE 8G</t>
  </si>
  <si>
    <t>NARS多用腮红棒欲焰HOT TAKE 8G</t>
  </si>
  <si>
    <t xml:space="preserve">194251146249 </t>
  </si>
  <si>
    <t>NARS THE MULTIPLE SEX APPEAL 8G</t>
  </si>
  <si>
    <t>NARS多用腮红棒爱欲SEX APPEAL 8G</t>
  </si>
  <si>
    <t xml:space="preserve">194251132051 </t>
  </si>
  <si>
    <t>NARS AFTER GLOW LIQUID BLUSH -WANDERLUST 7ML</t>
  </si>
  <si>
    <t>NARS小粉金液体腮红WANDERLUST 7ML</t>
  </si>
  <si>
    <t xml:space="preserve">737052925127 </t>
  </si>
  <si>
    <t>古驰竹韵浓香75ml</t>
  </si>
  <si>
    <t xml:space="preserve">6941594582869 </t>
  </si>
  <si>
    <t>欧莱雅紫熨斗30ml 第三代</t>
  </si>
  <si>
    <t>2023-12-31</t>
  </si>
  <si>
    <t>2025-08-18</t>
  </si>
  <si>
    <t>2025-03-01</t>
  </si>
  <si>
    <t>2024-04-01</t>
  </si>
  <si>
    <t>2025-01-01</t>
  </si>
  <si>
    <t>2024-07-01</t>
  </si>
  <si>
    <t>2025-01-31</t>
  </si>
  <si>
    <t>2024-08-01</t>
  </si>
  <si>
    <t>2023-06-12</t>
  </si>
  <si>
    <t>2023-04-28</t>
  </si>
  <si>
    <t>2023-03-29</t>
  </si>
  <si>
    <t>2024-05-01</t>
  </si>
  <si>
    <t>2025-06-10</t>
  </si>
  <si>
    <t>2025-02-01</t>
  </si>
  <si>
    <t>2025-01-22</t>
  </si>
  <si>
    <t>2025-01-16</t>
  </si>
  <si>
    <t>2024-12-20</t>
  </si>
  <si>
    <t>2023-06-01</t>
  </si>
  <si>
    <t>2023-07-01</t>
  </si>
  <si>
    <t>2024-06-08</t>
  </si>
  <si>
    <t>2025-03-03</t>
  </si>
  <si>
    <t>2025-02-07</t>
  </si>
  <si>
    <t>2024-08-10</t>
  </si>
  <si>
    <t>2024-06-01</t>
  </si>
  <si>
    <t>2025-06-01</t>
  </si>
  <si>
    <t>2025-04-08</t>
  </si>
  <si>
    <t>2023-01-25</t>
  </si>
  <si>
    <t>2022-09-01</t>
  </si>
  <si>
    <t>2023-07-29</t>
  </si>
  <si>
    <t>2023-03-15</t>
  </si>
  <si>
    <t>2025-11-01</t>
  </si>
  <si>
    <t>2024-09-15</t>
  </si>
  <si>
    <t>2024-01-20</t>
  </si>
  <si>
    <t>2023-05-01</t>
  </si>
  <si>
    <t>2026-02-26</t>
  </si>
  <si>
    <t>2025-07-01</t>
  </si>
  <si>
    <t>2025-07-05</t>
  </si>
  <si>
    <t>2025-05-08</t>
  </si>
  <si>
    <t>2024-04-08</t>
  </si>
  <si>
    <t>2024-09-01</t>
  </si>
  <si>
    <t>2024-12-01</t>
  </si>
  <si>
    <t>2025-04-01</t>
  </si>
  <si>
    <t>2025-06-13</t>
  </si>
  <si>
    <t>2025-10-29</t>
  </si>
  <si>
    <t>2025-11-10</t>
  </si>
  <si>
    <t>2025-08-01</t>
  </si>
  <si>
    <t>2024-11-21</t>
  </si>
  <si>
    <t>2024-11-01</t>
  </si>
  <si>
    <t>2025-03-31</t>
  </si>
  <si>
    <t>329.0</t>
  </si>
  <si>
    <t>169.0</t>
  </si>
  <si>
    <t>2025-02-28</t>
  </si>
  <si>
    <t>2024-12-09</t>
  </si>
  <si>
    <t>2023-02-28</t>
  </si>
  <si>
    <t>2022-06-01</t>
  </si>
  <si>
    <t>2025-03-27</t>
  </si>
  <si>
    <t>2024-02-21</t>
  </si>
  <si>
    <t>2023-11-01</t>
  </si>
  <si>
    <t>2023-08-01</t>
  </si>
  <si>
    <t>2023-02-01</t>
  </si>
  <si>
    <t>2025-09-19</t>
  </si>
  <si>
    <t>638.0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</si>
</sst>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d;@"/>
  </numFmts>
  <fonts count="7">
    <font>
      <sz val="11"/>
      <name val="宋体"/>
      <charset val="134"/>
    </font>
    <font>
      <sz val="11"/>
      <color rgb="FF000000"/>
      <name val="宋体"/>
      <family val="3"/>
      <charset val="134"/>
    </font>
    <font>
      <u/>
      <sz val="11"/>
      <color rgb="FF0026E5"/>
      <name val="宋体"/>
      <family val="3"/>
      <charset val="134"/>
    </font>
    <font>
      <sz val="9"/>
      <name val="宋体"/>
      <family val="3"/>
      <charset val="134"/>
    </font>
    <font>
      <sz val="11"/>
      <name val="宋体"/>
      <family val="3"/>
      <charset val="134"/>
    </font>
    <font>
      <sz val="11"/>
      <color theme="1"/>
      <name val="宋体"/>
      <family val="3"/>
      <charset val="134"/>
      <scheme val="minor"/>
    </font>
    <font>
      <sz val="9"/>
      <name val="宋体"/>
      <family val="3"/>
      <charset val="134"/>
      <scheme val="minor"/>
    </font>
  </fonts>
  <fills count="10">
    <fill>
      <patternFill patternType="none"/>
    </fill>
    <fill>
      <patternFill patternType="gray125"/>
    </fill>
    <fill>
      <patternFill patternType="solid">
        <fgColor rgb="FFFFFFFF"/>
        <bgColor indexed="64"/>
      </patternFill>
    </fill>
    <fill>
      <patternFill patternType="solid">
        <fgColor rgb="FFD0CECE"/>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CD5B4"/>
        <bgColor rgb="FF000000"/>
      </patternFill>
    </fill>
    <fill>
      <patternFill patternType="solid">
        <fgColor theme="8" tint="0.59999389629810485"/>
        <bgColor indexed="64"/>
      </patternFill>
    </fill>
  </fills>
  <borders count="1">
    <border>
      <left/>
      <right/>
      <top/>
      <bottom/>
      <diagonal/>
    </border>
  </borders>
  <cellStyleXfs count="2">
    <xf numFmtId="0" fontId="0" fillId="0" borderId="0">
      <alignment vertical="center"/>
    </xf>
    <xf numFmtId="0" fontId="2" fillId="0" borderId="0">
      <protection locked="0"/>
    </xf>
  </cellStyleXfs>
  <cellXfs count="50">
    <xf numFmtId="0" fontId="0" fillId="0" borderId="0" xfId="0">
      <alignment vertical="center"/>
    </xf>
    <xf numFmtId="0" fontId="1" fillId="2" borderId="0" xfId="0" applyFont="1" applyFill="1">
      <alignment vertical="center"/>
    </xf>
    <xf numFmtId="49" fontId="1" fillId="0" borderId="0" xfId="0" applyNumberFormat="1" applyFont="1">
      <alignment vertical="center"/>
    </xf>
    <xf numFmtId="49" fontId="1" fillId="0" borderId="0" xfId="0" applyNumberFormat="1" applyFont="1" applyAlignment="1">
      <alignment horizontal="center" vertical="center"/>
    </xf>
    <xf numFmtId="14" fontId="1" fillId="0" borderId="0" xfId="0" applyNumberFormat="1" applyFont="1">
      <alignment vertical="center"/>
    </xf>
    <xf numFmtId="49" fontId="1" fillId="3" borderId="0" xfId="0" applyNumberFormat="1" applyFont="1" applyFill="1" applyAlignment="1">
      <alignment horizontal="center" vertical="center"/>
    </xf>
    <xf numFmtId="14" fontId="1" fillId="3" borderId="0" xfId="0" applyNumberFormat="1" applyFont="1" applyFill="1" applyAlignment="1">
      <alignment horizontal="center" vertical="center"/>
    </xf>
    <xf numFmtId="49" fontId="1" fillId="2" borderId="0" xfId="0" applyNumberFormat="1" applyFont="1" applyFill="1" applyAlignment="1">
      <alignment horizontal="left" vertical="center"/>
    </xf>
    <xf numFmtId="49" fontId="1" fillId="0" borderId="0" xfId="0" applyNumberFormat="1" applyFont="1" applyAlignment="1">
      <alignment horizontal="left" vertical="center"/>
    </xf>
    <xf numFmtId="0" fontId="2" fillId="0" borderId="0" xfId="1" applyAlignment="1" applyProtection="1">
      <alignment vertical="center"/>
    </xf>
    <xf numFmtId="0" fontId="1" fillId="0" borderId="0" xfId="0" applyFont="1">
      <alignment vertical="center"/>
    </xf>
    <xf numFmtId="49" fontId="1" fillId="3" borderId="0" xfId="0" applyNumberFormat="1" applyFont="1" applyFill="1">
      <alignment vertical="center"/>
    </xf>
    <xf numFmtId="0" fontId="0" fillId="4" borderId="0" xfId="0" applyFill="1">
      <alignment vertical="center"/>
    </xf>
    <xf numFmtId="14" fontId="1" fillId="4" borderId="0" xfId="0" applyNumberFormat="1" applyFont="1" applyFill="1">
      <alignment vertical="center"/>
    </xf>
    <xf numFmtId="14" fontId="1" fillId="5" borderId="0" xfId="0" applyNumberFormat="1" applyFont="1" applyFill="1">
      <alignment vertical="center"/>
    </xf>
    <xf numFmtId="0" fontId="0" fillId="5" borderId="0" xfId="0" applyFill="1">
      <alignment vertical="center"/>
    </xf>
    <xf numFmtId="176" fontId="0" fillId="0" borderId="0" xfId="0" applyNumberFormat="1">
      <alignment vertical="center"/>
    </xf>
    <xf numFmtId="176" fontId="1" fillId="5" borderId="0" xfId="0" applyNumberFormat="1" applyFont="1" applyFill="1">
      <alignment vertical="center"/>
    </xf>
    <xf numFmtId="0" fontId="4" fillId="5" borderId="0" xfId="0" applyFont="1" applyFill="1">
      <alignment vertical="center"/>
    </xf>
    <xf numFmtId="0" fontId="4" fillId="4" borderId="0" xfId="0" applyFont="1" applyFill="1">
      <alignment vertical="center"/>
    </xf>
    <xf numFmtId="49" fontId="1" fillId="4" borderId="0" xfId="0" applyNumberFormat="1" applyFont="1" applyFill="1" applyAlignment="1">
      <alignment horizontal="left" vertical="center"/>
    </xf>
    <xf numFmtId="0" fontId="1" fillId="4" borderId="0" xfId="0" applyFont="1" applyFill="1">
      <alignment vertical="center"/>
    </xf>
    <xf numFmtId="49" fontId="1" fillId="5" borderId="0" xfId="0" applyNumberFormat="1" applyFont="1" applyFill="1" applyAlignment="1">
      <alignment horizontal="left" vertical="center"/>
    </xf>
    <xf numFmtId="0" fontId="1" fillId="5" borderId="0" xfId="0" applyFont="1" applyFill="1">
      <alignment vertical="center"/>
    </xf>
    <xf numFmtId="176" fontId="1" fillId="4" borderId="0" xfId="0" applyNumberFormat="1" applyFont="1" applyFill="1">
      <alignment vertical="center"/>
    </xf>
    <xf numFmtId="49" fontId="5" fillId="0" borderId="0" xfId="0" applyNumberFormat="1" applyFont="1" applyAlignment="1">
      <alignment horizontal="left" vertical="center"/>
    </xf>
    <xf numFmtId="0" fontId="4" fillId="0" borderId="0" xfId="0" applyFont="1">
      <alignment vertical="center"/>
    </xf>
    <xf numFmtId="49" fontId="5" fillId="4" borderId="0" xfId="0" applyNumberFormat="1" applyFont="1" applyFill="1">
      <alignment vertical="center"/>
    </xf>
    <xf numFmtId="49" fontId="5" fillId="4" borderId="0" xfId="0" applyNumberFormat="1" applyFont="1" applyFill="1" applyAlignment="1">
      <alignment horizontal="left" vertical="center"/>
    </xf>
    <xf numFmtId="49" fontId="5" fillId="5" borderId="0" xfId="0" applyNumberFormat="1" applyFont="1" applyFill="1" applyAlignment="1">
      <alignment horizontal="left" vertical="center"/>
    </xf>
    <xf numFmtId="49" fontId="1" fillId="3" borderId="0" xfId="0" applyNumberFormat="1" applyFont="1" applyFill="1" applyAlignment="1">
      <alignment horizontal="left" vertical="center"/>
    </xf>
    <xf numFmtId="0" fontId="1" fillId="4" borderId="0" xfId="0" applyFont="1" applyFill="1" applyAlignment="1">
      <alignment horizontal="left" vertical="center"/>
    </xf>
    <xf numFmtId="0" fontId="0" fillId="0" borderId="0" xfId="0" applyAlignment="1">
      <alignment horizontal="left"/>
    </xf>
    <xf numFmtId="0" fontId="1" fillId="2" borderId="0" xfId="0" applyFont="1" applyFill="1" applyAlignment="1">
      <alignment horizontal="left" vertical="center"/>
    </xf>
    <xf numFmtId="0" fontId="1" fillId="5" borderId="0" xfId="0" applyFont="1" applyFill="1" applyAlignment="1">
      <alignment horizontal="left" vertical="center"/>
    </xf>
    <xf numFmtId="0" fontId="0" fillId="0" borderId="0" xfId="0" applyAlignment="1">
      <alignment horizontal="left" vertical="center"/>
    </xf>
    <xf numFmtId="49" fontId="5" fillId="5" borderId="0" xfId="0" applyNumberFormat="1" applyFont="1" applyFill="1">
      <alignment vertical="center"/>
    </xf>
    <xf numFmtId="176" fontId="0" fillId="5" borderId="0" xfId="0" applyNumberFormat="1" applyFill="1">
      <alignment vertical="center"/>
    </xf>
    <xf numFmtId="176" fontId="0" fillId="4" borderId="0" xfId="0" applyNumberFormat="1" applyFill="1">
      <alignment vertical="center"/>
    </xf>
    <xf numFmtId="176" fontId="1" fillId="0" borderId="0" xfId="0" applyNumberFormat="1" applyFont="1">
      <alignment vertical="center"/>
    </xf>
    <xf numFmtId="0" fontId="0" fillId="6" borderId="0" xfId="0" applyFill="1">
      <alignment vertical="center"/>
    </xf>
    <xf numFmtId="0" fontId="0" fillId="0" borderId="0" xfId="0" applyAlignment="1"/>
    <xf numFmtId="49" fontId="1" fillId="7" borderId="0" xfId="0" applyNumberFormat="1" applyFont="1" applyFill="1">
      <alignment vertical="center"/>
    </xf>
    <xf numFmtId="0" fontId="0" fillId="7" borderId="0" xfId="0" applyFill="1">
      <alignment vertical="center"/>
    </xf>
    <xf numFmtId="0" fontId="0" fillId="7" borderId="0" xfId="0" applyFill="1" applyAlignment="1"/>
    <xf numFmtId="0" fontId="1" fillId="8" borderId="0" xfId="0" applyFont="1" applyFill="1" applyAlignment="1"/>
    <xf numFmtId="0" fontId="0" fillId="6" borderId="0" xfId="0" applyFill="1" applyAlignment="1"/>
    <xf numFmtId="0" fontId="4" fillId="0" borderId="0" xfId="0" applyFont="1" applyAlignment="1"/>
    <xf numFmtId="0" fontId="0" fillId="9" borderId="0" xfId="0" applyFill="1" applyAlignment="1"/>
    <xf numFmtId="14" fontId="0" fillId="0" borderId="0" xfId="0" applyNumberFormat="1" applyAlignment="1"/>
  </cellXfs>
  <cellStyles count="2">
    <cellStyle name="常规" xfId="0" builtinId="0"/>
    <cellStyle name="超链接" xfId="1" builtinId="8"/>
  </cellStyles>
  <dxfs count="35">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bgColor rgb="FFFFC7CE"/>
        </patternFill>
      </fill>
    </dxf>
    <dxf>
      <fill>
        <patternFill patternType="solid">
          <bgColor rgb="FFFF9900"/>
        </patternFill>
      </fill>
    </dxf>
    <dxf>
      <fill>
        <patternFill patternType="solid">
          <bgColor rgb="FFFF9900"/>
        </patternFill>
      </fill>
    </dxf>
    <dxf>
      <font>
        <color rgb="FF9C0006"/>
      </font>
      <fill>
        <patternFill>
          <bgColor rgb="FFFFC7CE"/>
        </patternFill>
      </fill>
    </dxf>
    <dxf>
      <font>
        <color rgb="FF9C0006"/>
      </font>
      <fill>
        <patternFill>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fgColor rgb="FFD9E1F4"/>
          <bgColor rgb="FFD9E1F4"/>
        </patternFill>
      </fill>
      <border>
        <left/>
        <right/>
        <top/>
        <bottom style="thin">
          <color rgb="FF91AADF"/>
        </bottom>
      </border>
    </dxf>
    <dxf>
      <font>
        <b/>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color rgb="FF000000"/>
      </font>
    </dxf>
    <dxf>
      <font>
        <b/>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color rgb="FF000000"/>
      </font>
      <fill>
        <patternFill patternType="solid">
          <fgColor rgb="FFD9E1F4"/>
          <bgColor rgb="FFD9E1F4"/>
        </patternFill>
      </fill>
      <border>
        <left/>
        <right/>
        <top style="thin">
          <color rgb="FF91AADF"/>
        </top>
        <bottom style="thin">
          <color rgb="FF91AADF"/>
        </bottom>
      </border>
    </dxf>
    <dxf>
      <font>
        <b/>
        <color rgb="FF000000"/>
      </font>
      <fill>
        <patternFill patternType="solid">
          <fgColor rgb="FFD9E1F4"/>
          <bgColor rgb="FFD9E1F4"/>
        </patternFill>
      </fill>
      <border>
        <left/>
        <right/>
        <top/>
        <bottom style="thin">
          <color rgb="FF91AADF"/>
        </bottom>
      </border>
    </dxf>
    <dxf>
      <fill>
        <patternFill patternType="solid">
          <fgColor rgb="FFD9E1F4"/>
          <bgColor rgb="FFD9E1F4"/>
        </patternFill>
      </fill>
    </dxf>
    <dxf>
      <fill>
        <patternFill patternType="solid">
          <fgColor rgb="FFD9E1F4"/>
          <bgColor rgb="FFD9E1F4"/>
        </patternFill>
      </fill>
    </dxf>
    <dxf>
      <font>
        <b/>
        <color rgb="FF000000"/>
      </font>
    </dxf>
    <dxf>
      <font>
        <b/>
        <color rgb="FF000000"/>
      </font>
    </dxf>
    <dxf>
      <font>
        <b/>
        <color rgb="FF000000"/>
      </font>
      <border>
        <left/>
        <right/>
        <top style="double">
          <color rgb="FF4874CB"/>
        </top>
        <bottom/>
      </border>
    </dxf>
    <dxf>
      <font>
        <b/>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s>
  <tableStyles count="2" defaultTableStyle="TableStylePreset3_Accent1 1" defaultPivotStyle="PivotStylePreset2_Accent1 1">
    <tableStyle name="TableStylePreset3_Accent1 1" pivot="0" count="7" xr9:uid="{3AD70849-3F6B-ADC2-5487-646933379502}">
      <tableStyleElement type="wholeTable" dxfId="34"/>
      <tableStyleElement type="headerRow" dxfId="33"/>
      <tableStyleElement type="totalRow" dxfId="32"/>
      <tableStyleElement type="firstColumn" dxfId="31"/>
      <tableStyleElement type="lastColumn" dxfId="30"/>
      <tableStyleElement type="firstRowStripe" dxfId="29"/>
      <tableStyleElement type="firstColumnStripe" dxfId="28"/>
    </tableStyle>
    <tableStyle name="PivotStylePreset2_Accent1 1" table="0" count="10" xr9:uid="{B0E6D76F-EA8E-7237-5487-6469988B1DE4}">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201" dbFileVersion="0">
    <open main="49" threadCnt="1"/>
    <sheetInfos>
      <sheetInfo cellCmpFml="161" sheetStid="1">
        <open main="13" threadCnt="1"/>
      </sheetInfo>
      <sheetInfo cellCmpFml="40" sheetStid="2">
        <open main="3"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www.wps.cn/officeDocument/2023/relationships/woinfos" Target="woinfo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etail.youzan.com/show/goods?from_source=gbox_seo&amp;alias=26wn1iuopfflubb" TargetMode="External"/><Relationship Id="rId2" Type="http://schemas.openxmlformats.org/officeDocument/2006/relationships/hyperlink" Target="https://www.jomashop.com/giorgio-armani-mens-acqua-di-gio-edt-spray-3-4-oz-fragrances-3614273955546.html" TargetMode="External"/><Relationship Id="rId1" Type="http://schemas.openxmlformats.org/officeDocument/2006/relationships/hyperlink" Target="https://www.hktvmall.com/hktv/en/main/100MARKS-MALL/s/H9347001/Skincare-&amp;-Makeup/Skincare-&amp;-Makeup/Perfume-&amp;-Home-Fragrance/Perfume-For-Women/Floral-Notes/LIBRE-EAU-DE-PARFUM-30ml3614272648401/p/H9347001_S_361427264840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unrisetrading.com.cn/cn/product/887167386655.html" TargetMode="External"/><Relationship Id="rId2" Type="http://schemas.openxmlformats.org/officeDocument/2006/relationships/hyperlink" Target="https://www.wwmall.hk/products/clarins-clarins-brightening-and-firming-day-and-night-cream-set-suitable-for-any-skin-50ml50ml" TargetMode="External"/><Relationship Id="rId1" Type="http://schemas.openxmlformats.org/officeDocument/2006/relationships/hyperlink" Target="https://www.feiyang.hk/product-1129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0"/>
  <sheetViews>
    <sheetView tabSelected="1" topLeftCell="A33" zoomScale="150" zoomScaleNormal="150" workbookViewId="0">
      <selection activeCell="F18" sqref="F18"/>
    </sheetView>
  </sheetViews>
  <sheetFormatPr baseColWidth="10" defaultColWidth="10" defaultRowHeight="14"/>
  <cols>
    <col min="1" max="1" width="9" customWidth="1"/>
    <col min="2" max="2" width="13" style="16" customWidth="1"/>
    <col min="3" max="3" width="10" style="43" customWidth="1"/>
    <col min="4" max="4" width="42.83203125" style="2" customWidth="1"/>
    <col min="5" max="5" width="16.33203125" style="2" hidden="1" customWidth="1"/>
    <col min="6" max="6" width="29.5" style="2" customWidth="1"/>
    <col min="7" max="7" width="10" customWidth="1"/>
    <col min="8" max="8" width="11.6640625" style="4" customWidth="1"/>
    <col min="9" max="9" width="6.1640625" customWidth="1"/>
    <col min="11" max="11" width="10.83203125" style="9"/>
  </cols>
  <sheetData>
    <row r="1" spans="1:10">
      <c r="A1" s="11" t="s">
        <v>6</v>
      </c>
      <c r="B1" s="11" t="s">
        <v>3</v>
      </c>
      <c r="C1" s="42" t="s">
        <v>1010</v>
      </c>
      <c r="D1" s="11" t="s">
        <v>1</v>
      </c>
      <c r="E1" s="5" t="s">
        <v>0</v>
      </c>
      <c r="F1" s="11" t="s">
        <v>2</v>
      </c>
      <c r="G1" s="11" t="s">
        <v>1009</v>
      </c>
      <c r="H1" s="11" t="s">
        <v>4</v>
      </c>
      <c r="I1" s="11" t="s">
        <v>7</v>
      </c>
      <c r="J1" s="11" t="s">
        <v>8</v>
      </c>
    </row>
    <row r="2" spans="1:10">
      <c r="A2" s="19" t="s">
        <v>351</v>
      </c>
      <c r="B2" s="39">
        <v>45658</v>
      </c>
      <c r="C2" s="43">
        <v>419</v>
      </c>
      <c r="D2" s="25" t="s">
        <v>17</v>
      </c>
      <c r="E2" s="25" t="s">
        <v>1020</v>
      </c>
      <c r="F2" s="25" t="s">
        <v>18</v>
      </c>
      <c r="G2">
        <v>440</v>
      </c>
      <c r="H2" s="4">
        <f>B2+1095</f>
        <v>46753</v>
      </c>
      <c r="I2">
        <v>1</v>
      </c>
    </row>
    <row r="3" spans="1:10">
      <c r="A3" s="18" t="s">
        <v>51</v>
      </c>
      <c r="B3" s="37">
        <v>45901</v>
      </c>
      <c r="C3" s="43">
        <v>293</v>
      </c>
      <c r="D3" s="29" t="s">
        <v>30</v>
      </c>
      <c r="E3" s="36" t="s">
        <v>29</v>
      </c>
      <c r="F3" s="29" t="s">
        <v>30</v>
      </c>
      <c r="G3" s="15">
        <v>289</v>
      </c>
      <c r="H3" s="14">
        <f>B3+1095</f>
        <v>46996</v>
      </c>
      <c r="I3" s="15">
        <v>2</v>
      </c>
      <c r="J3" s="15"/>
    </row>
    <row r="4" spans="1:10">
      <c r="A4" s="18" t="s">
        <v>351</v>
      </c>
      <c r="B4" s="41" t="s">
        <v>1381</v>
      </c>
      <c r="C4" s="43">
        <v>225</v>
      </c>
      <c r="D4" s="25" t="s">
        <v>24</v>
      </c>
      <c r="E4" s="25" t="s">
        <v>1021</v>
      </c>
      <c r="F4" s="25" t="s">
        <v>25</v>
      </c>
      <c r="G4">
        <v>280</v>
      </c>
      <c r="H4" s="4">
        <f>B4+1095</f>
        <v>46386</v>
      </c>
      <c r="I4">
        <v>3</v>
      </c>
    </row>
    <row r="5" spans="1:10">
      <c r="A5" s="19" t="s">
        <v>351</v>
      </c>
      <c r="B5" s="41" t="s">
        <v>1382</v>
      </c>
      <c r="C5" s="44">
        <v>162</v>
      </c>
      <c r="D5" s="28" t="s">
        <v>27</v>
      </c>
      <c r="E5" s="27" t="s">
        <v>26</v>
      </c>
      <c r="F5" s="28" t="s">
        <v>28</v>
      </c>
      <c r="G5" s="12">
        <v>258</v>
      </c>
      <c r="H5" s="13">
        <f>B5+1095</f>
        <v>46982</v>
      </c>
      <c r="I5" s="12">
        <v>4</v>
      </c>
      <c r="J5" s="12"/>
    </row>
    <row r="6" spans="1:10">
      <c r="A6" s="19" t="s">
        <v>351</v>
      </c>
      <c r="B6" s="38">
        <v>45505</v>
      </c>
      <c r="C6" s="43">
        <v>196</v>
      </c>
      <c r="D6" s="28" t="s">
        <v>63</v>
      </c>
      <c r="E6" s="27" t="s">
        <v>1022</v>
      </c>
      <c r="F6" s="28" t="s">
        <v>64</v>
      </c>
      <c r="G6" s="12">
        <v>150</v>
      </c>
      <c r="H6" s="13"/>
      <c r="I6" s="12">
        <v>5</v>
      </c>
    </row>
    <row r="7" spans="1:10">
      <c r="A7" s="18" t="s">
        <v>351</v>
      </c>
      <c r="B7" s="38"/>
      <c r="C7" s="43">
        <v>80</v>
      </c>
      <c r="D7" s="28" t="s">
        <v>66</v>
      </c>
      <c r="E7" s="27" t="s">
        <v>65</v>
      </c>
      <c r="F7" s="28" t="s">
        <v>66</v>
      </c>
      <c r="G7" s="12">
        <v>100</v>
      </c>
      <c r="H7" s="13">
        <f t="shared" ref="H7:H21" si="0">B7+1095</f>
        <v>1095</v>
      </c>
      <c r="I7" s="12">
        <v>6</v>
      </c>
    </row>
    <row r="8" spans="1:10">
      <c r="A8" s="19" t="s">
        <v>351</v>
      </c>
      <c r="B8" s="41" t="s">
        <v>1383</v>
      </c>
      <c r="C8" s="43">
        <v>124</v>
      </c>
      <c r="D8" s="25" t="s">
        <v>73</v>
      </c>
      <c r="E8" s="25" t="s">
        <v>72</v>
      </c>
      <c r="F8" s="25" t="s">
        <v>73</v>
      </c>
      <c r="G8">
        <v>230</v>
      </c>
      <c r="H8" s="4">
        <f t="shared" si="0"/>
        <v>46812</v>
      </c>
      <c r="I8">
        <v>7</v>
      </c>
    </row>
    <row r="9" spans="1:10">
      <c r="A9" s="18" t="s">
        <v>351</v>
      </c>
      <c r="B9" s="41" t="s">
        <v>1384</v>
      </c>
      <c r="C9" s="43">
        <v>228</v>
      </c>
      <c r="D9" s="28" t="s">
        <v>74</v>
      </c>
      <c r="E9" s="27" t="s">
        <v>1023</v>
      </c>
      <c r="F9" s="28" t="s">
        <v>75</v>
      </c>
      <c r="G9" s="12">
        <v>499</v>
      </c>
      <c r="H9" s="13">
        <f t="shared" si="0"/>
        <v>46478</v>
      </c>
      <c r="I9" s="12">
        <v>8</v>
      </c>
    </row>
    <row r="10" spans="1:10">
      <c r="A10" s="19" t="s">
        <v>51</v>
      </c>
      <c r="B10" s="41" t="s">
        <v>1385</v>
      </c>
      <c r="C10" s="43">
        <v>599</v>
      </c>
      <c r="D10" s="29" t="s">
        <v>77</v>
      </c>
      <c r="E10" s="36" t="s">
        <v>76</v>
      </c>
      <c r="F10" s="29" t="s">
        <v>78</v>
      </c>
      <c r="G10" s="15">
        <v>699</v>
      </c>
      <c r="H10" s="14">
        <f t="shared" si="0"/>
        <v>46753</v>
      </c>
      <c r="I10" s="15">
        <v>9</v>
      </c>
    </row>
    <row r="11" spans="1:10">
      <c r="A11" s="19" t="s">
        <v>351</v>
      </c>
      <c r="B11" s="37">
        <v>45444</v>
      </c>
      <c r="C11" s="43" t="s">
        <v>1219</v>
      </c>
      <c r="D11" s="29" t="s">
        <v>80</v>
      </c>
      <c r="E11" s="36" t="s">
        <v>79</v>
      </c>
      <c r="F11" s="29" t="s">
        <v>81</v>
      </c>
      <c r="G11" s="40">
        <v>309</v>
      </c>
      <c r="H11" s="14">
        <f t="shared" si="0"/>
        <v>46539</v>
      </c>
      <c r="I11" s="15">
        <v>10</v>
      </c>
    </row>
    <row r="12" spans="1:10">
      <c r="A12" s="18" t="s">
        <v>51</v>
      </c>
      <c r="B12" s="37"/>
      <c r="C12" s="44">
        <v>319</v>
      </c>
      <c r="D12" s="29" t="s">
        <v>1024</v>
      </c>
      <c r="E12" s="36" t="s">
        <v>82</v>
      </c>
      <c r="F12" s="29" t="s">
        <v>1024</v>
      </c>
      <c r="G12" s="15" t="s">
        <v>1219</v>
      </c>
      <c r="H12" s="14">
        <f t="shared" si="0"/>
        <v>1095</v>
      </c>
      <c r="I12" s="15">
        <v>11</v>
      </c>
    </row>
    <row r="13" spans="1:10">
      <c r="A13" s="18" t="s">
        <v>51</v>
      </c>
      <c r="B13" s="41" t="s">
        <v>1386</v>
      </c>
      <c r="C13" s="43">
        <v>295</v>
      </c>
      <c r="D13" s="25" t="s">
        <v>83</v>
      </c>
      <c r="E13" s="25" t="s">
        <v>1025</v>
      </c>
      <c r="F13" s="25" t="s">
        <v>84</v>
      </c>
      <c r="G13" s="40">
        <v>289</v>
      </c>
      <c r="H13" s="4">
        <f t="shared" si="0"/>
        <v>46569</v>
      </c>
      <c r="I13">
        <v>12</v>
      </c>
    </row>
    <row r="14" spans="1:10">
      <c r="A14" s="19" t="s">
        <v>51</v>
      </c>
      <c r="B14" s="41" t="s">
        <v>1386</v>
      </c>
      <c r="C14" s="43">
        <v>295</v>
      </c>
      <c r="D14" s="28" t="s">
        <v>86</v>
      </c>
      <c r="E14" s="27" t="s">
        <v>85</v>
      </c>
      <c r="F14" s="28" t="s">
        <v>87</v>
      </c>
      <c r="G14" s="12">
        <v>289</v>
      </c>
      <c r="H14" s="13">
        <f t="shared" si="0"/>
        <v>46569</v>
      </c>
      <c r="I14" s="12">
        <v>13</v>
      </c>
    </row>
    <row r="15" spans="1:10">
      <c r="A15" s="18" t="s">
        <v>51</v>
      </c>
      <c r="B15" s="41" t="s">
        <v>1386</v>
      </c>
      <c r="C15" s="43">
        <v>295</v>
      </c>
      <c r="D15" s="29" t="s">
        <v>88</v>
      </c>
      <c r="E15" s="36" t="s">
        <v>1026</v>
      </c>
      <c r="F15" s="29" t="s">
        <v>89</v>
      </c>
      <c r="G15" s="15">
        <v>289</v>
      </c>
      <c r="H15" s="14">
        <f t="shared" si="0"/>
        <v>46569</v>
      </c>
      <c r="I15" s="15">
        <v>14</v>
      </c>
    </row>
    <row r="16" spans="1:10">
      <c r="A16" s="19" t="s">
        <v>51</v>
      </c>
      <c r="B16" s="41" t="s">
        <v>1387</v>
      </c>
      <c r="C16" s="43">
        <v>245</v>
      </c>
      <c r="D16" s="28" t="s">
        <v>104</v>
      </c>
      <c r="E16" s="27" t="s">
        <v>1027</v>
      </c>
      <c r="F16" s="28" t="s">
        <v>105</v>
      </c>
      <c r="G16" s="12">
        <v>188</v>
      </c>
      <c r="H16" s="13">
        <f t="shared" si="0"/>
        <v>46783</v>
      </c>
      <c r="I16" s="12">
        <v>15</v>
      </c>
    </row>
    <row r="17" spans="1:9">
      <c r="A17" s="19" t="s">
        <v>351</v>
      </c>
      <c r="B17" s="39"/>
      <c r="C17" s="43" t="s">
        <v>1219</v>
      </c>
      <c r="D17" s="25" t="s">
        <v>90</v>
      </c>
      <c r="E17" s="25" t="s">
        <v>1028</v>
      </c>
      <c r="F17" s="25" t="s">
        <v>91</v>
      </c>
      <c r="G17" t="s">
        <v>1219</v>
      </c>
      <c r="H17" s="4">
        <f t="shared" si="0"/>
        <v>1095</v>
      </c>
      <c r="I17">
        <v>16</v>
      </c>
    </row>
    <row r="18" spans="1:9">
      <c r="A18" s="18" t="s">
        <v>351</v>
      </c>
      <c r="B18" s="39"/>
      <c r="C18" s="43">
        <v>156</v>
      </c>
      <c r="D18" s="25" t="s">
        <v>93</v>
      </c>
      <c r="E18" s="25" t="s">
        <v>92</v>
      </c>
      <c r="F18" s="25" t="s">
        <v>94</v>
      </c>
      <c r="G18">
        <v>261</v>
      </c>
      <c r="H18" s="4">
        <f t="shared" si="0"/>
        <v>1095</v>
      </c>
      <c r="I18">
        <v>17</v>
      </c>
    </row>
    <row r="19" spans="1:9">
      <c r="A19" s="19" t="s">
        <v>51</v>
      </c>
      <c r="B19" s="38">
        <v>45505</v>
      </c>
      <c r="C19" s="43">
        <v>268</v>
      </c>
      <c r="D19" s="28" t="s">
        <v>96</v>
      </c>
      <c r="E19" s="27" t="s">
        <v>95</v>
      </c>
      <c r="F19" s="28" t="s">
        <v>96</v>
      </c>
      <c r="G19" s="12">
        <v>220</v>
      </c>
      <c r="H19" s="13">
        <f t="shared" si="0"/>
        <v>46600</v>
      </c>
      <c r="I19" s="12">
        <v>18</v>
      </c>
    </row>
    <row r="20" spans="1:9">
      <c r="A20" s="19" t="s">
        <v>351</v>
      </c>
      <c r="B20" s="41" t="s">
        <v>1389</v>
      </c>
      <c r="C20" s="44">
        <v>129</v>
      </c>
      <c r="D20" s="25" t="s">
        <v>97</v>
      </c>
      <c r="E20" s="25" t="s">
        <v>1029</v>
      </c>
      <c r="F20" s="25" t="s">
        <v>98</v>
      </c>
      <c r="G20">
        <v>180</v>
      </c>
      <c r="H20" s="4">
        <f t="shared" si="0"/>
        <v>46184</v>
      </c>
      <c r="I20">
        <v>19</v>
      </c>
    </row>
    <row r="21" spans="1:9">
      <c r="A21" s="19" t="s">
        <v>351</v>
      </c>
      <c r="B21" s="41" t="s">
        <v>1390</v>
      </c>
      <c r="C21" s="44">
        <v>210</v>
      </c>
      <c r="D21" s="29" t="s">
        <v>103</v>
      </c>
      <c r="E21" s="36" t="s">
        <v>102</v>
      </c>
      <c r="F21" s="29" t="s">
        <v>103</v>
      </c>
      <c r="G21" s="15">
        <v>69.8</v>
      </c>
      <c r="H21" s="14">
        <f t="shared" si="0"/>
        <v>46139</v>
      </c>
      <c r="I21" s="15">
        <v>20</v>
      </c>
    </row>
    <row r="22" spans="1:9">
      <c r="A22" s="41" t="s">
        <v>10</v>
      </c>
      <c r="B22" s="41" t="s">
        <v>1391</v>
      </c>
      <c r="C22" s="44">
        <v>59.9</v>
      </c>
      <c r="D22" s="29" t="s">
        <v>107</v>
      </c>
      <c r="E22" s="36" t="s">
        <v>106</v>
      </c>
      <c r="F22" s="29" t="s">
        <v>108</v>
      </c>
      <c r="G22" s="15">
        <v>79.88</v>
      </c>
      <c r="H22" s="14">
        <f>B22+1825</f>
        <v>46839</v>
      </c>
      <c r="I22" s="15">
        <v>21</v>
      </c>
    </row>
    <row r="23" spans="1:9">
      <c r="A23" s="19" t="s">
        <v>351</v>
      </c>
      <c r="B23" s="39"/>
      <c r="D23" s="25" t="s">
        <v>110</v>
      </c>
      <c r="E23" s="25" t="s">
        <v>109</v>
      </c>
      <c r="F23" s="25" t="s">
        <v>111</v>
      </c>
      <c r="G23">
        <v>109</v>
      </c>
      <c r="H23" s="4">
        <f>B23+1825</f>
        <v>1825</v>
      </c>
      <c r="I23">
        <v>22</v>
      </c>
    </row>
    <row r="24" spans="1:9">
      <c r="A24" s="41" t="s">
        <v>10</v>
      </c>
      <c r="B24" s="41"/>
      <c r="C24" s="41">
        <v>79.86</v>
      </c>
      <c r="D24" s="28" t="s">
        <v>112</v>
      </c>
      <c r="E24" s="27" t="s">
        <v>1030</v>
      </c>
      <c r="F24" s="28" t="s">
        <v>113</v>
      </c>
      <c r="G24" s="40">
        <v>79.87</v>
      </c>
      <c r="H24" s="13">
        <f>B24+1825</f>
        <v>1825</v>
      </c>
      <c r="I24" s="12">
        <v>23</v>
      </c>
    </row>
    <row r="25" spans="1:9">
      <c r="A25" s="41" t="s">
        <v>10</v>
      </c>
      <c r="B25" s="41"/>
      <c r="C25" s="44">
        <v>19.899999999999999</v>
      </c>
      <c r="D25" s="25" t="s">
        <v>115</v>
      </c>
      <c r="E25" s="25" t="s">
        <v>114</v>
      </c>
      <c r="F25" s="25" t="s">
        <v>116</v>
      </c>
      <c r="G25" s="40">
        <v>19.899999999999999</v>
      </c>
      <c r="H25" s="4">
        <f>B25+1825</f>
        <v>1825</v>
      </c>
      <c r="I25">
        <v>24</v>
      </c>
    </row>
    <row r="26" spans="1:9">
      <c r="A26" s="19" t="s">
        <v>351</v>
      </c>
      <c r="B26" s="38"/>
      <c r="C26" s="44">
        <v>25.1</v>
      </c>
      <c r="D26" s="28" t="s">
        <v>118</v>
      </c>
      <c r="E26" s="27" t="s">
        <v>117</v>
      </c>
      <c r="F26" s="28" t="s">
        <v>119</v>
      </c>
      <c r="G26" s="12">
        <v>20</v>
      </c>
      <c r="H26" s="13">
        <f t="shared" ref="H26:H48" si="1">B26+1095</f>
        <v>1095</v>
      </c>
      <c r="I26" s="12">
        <v>25</v>
      </c>
    </row>
    <row r="27" spans="1:9">
      <c r="A27" s="41" t="s">
        <v>1223</v>
      </c>
      <c r="B27" s="41" t="s">
        <v>1393</v>
      </c>
      <c r="C27" s="44">
        <v>819</v>
      </c>
      <c r="D27" s="28" t="s">
        <v>122</v>
      </c>
      <c r="E27" s="27" t="s">
        <v>1031</v>
      </c>
      <c r="F27" s="28" t="s">
        <v>123</v>
      </c>
      <c r="G27" s="12">
        <v>819</v>
      </c>
      <c r="H27" s="13">
        <f t="shared" si="1"/>
        <v>46913</v>
      </c>
      <c r="I27" s="12">
        <v>26</v>
      </c>
    </row>
    <row r="28" spans="1:9">
      <c r="A28" s="41" t="s">
        <v>10</v>
      </c>
      <c r="B28" s="41" t="s">
        <v>1394</v>
      </c>
      <c r="C28" s="41">
        <v>949</v>
      </c>
      <c r="D28" s="29" t="s">
        <v>127</v>
      </c>
      <c r="E28" s="36" t="s">
        <v>126</v>
      </c>
      <c r="F28" s="29" t="s">
        <v>128</v>
      </c>
      <c r="G28" s="15">
        <v>1069</v>
      </c>
      <c r="H28" s="14">
        <f t="shared" si="1"/>
        <v>46784</v>
      </c>
      <c r="I28" s="15">
        <v>27</v>
      </c>
    </row>
    <row r="29" spans="1:9">
      <c r="A29" s="41" t="s">
        <v>1223</v>
      </c>
      <c r="B29" s="41" t="s">
        <v>1385</v>
      </c>
      <c r="C29" s="44">
        <v>1299</v>
      </c>
      <c r="D29" s="28" t="s">
        <v>1033</v>
      </c>
      <c r="E29" s="27" t="s">
        <v>1032</v>
      </c>
      <c r="F29" s="28" t="s">
        <v>1034</v>
      </c>
      <c r="G29" s="12">
        <v>1200</v>
      </c>
      <c r="H29" s="13">
        <f t="shared" si="1"/>
        <v>46753</v>
      </c>
      <c r="I29" s="12">
        <v>28</v>
      </c>
    </row>
    <row r="30" spans="1:9">
      <c r="A30" s="41" t="s">
        <v>10</v>
      </c>
      <c r="B30" s="41" t="s">
        <v>1395</v>
      </c>
      <c r="C30" s="44">
        <v>261</v>
      </c>
      <c r="D30" s="28" t="s">
        <v>140</v>
      </c>
      <c r="E30" s="27" t="s">
        <v>1035</v>
      </c>
      <c r="F30" s="28" t="s">
        <v>141</v>
      </c>
      <c r="G30" s="40">
        <v>450</v>
      </c>
      <c r="H30" s="13">
        <f t="shared" si="1"/>
        <v>46774</v>
      </c>
      <c r="I30" s="12">
        <v>29</v>
      </c>
    </row>
    <row r="31" spans="1:9">
      <c r="A31" s="41" t="s">
        <v>10</v>
      </c>
      <c r="B31" s="41" t="s">
        <v>1396</v>
      </c>
      <c r="C31" s="44">
        <v>847</v>
      </c>
      <c r="D31" s="29" t="s">
        <v>142</v>
      </c>
      <c r="E31" s="36" t="s">
        <v>1036</v>
      </c>
      <c r="F31" s="29" t="s">
        <v>143</v>
      </c>
      <c r="G31" s="40">
        <v>839</v>
      </c>
      <c r="H31" s="14">
        <f t="shared" si="1"/>
        <v>46768</v>
      </c>
      <c r="I31" s="15">
        <v>30</v>
      </c>
    </row>
    <row r="32" spans="1:9">
      <c r="A32" s="41" t="s">
        <v>1223</v>
      </c>
      <c r="B32" s="41" t="s">
        <v>1397</v>
      </c>
      <c r="C32" s="44">
        <v>1530</v>
      </c>
      <c r="D32" s="25" t="s">
        <v>1037</v>
      </c>
      <c r="E32" s="25" t="s">
        <v>1227</v>
      </c>
      <c r="F32" s="25" t="s">
        <v>1038</v>
      </c>
      <c r="G32" s="40">
        <v>899</v>
      </c>
      <c r="H32" s="4">
        <f t="shared" si="1"/>
        <v>46741</v>
      </c>
      <c r="I32">
        <v>31</v>
      </c>
    </row>
    <row r="33" spans="1:10">
      <c r="A33" s="41" t="s">
        <v>1223</v>
      </c>
      <c r="B33" s="41" t="s">
        <v>1397</v>
      </c>
      <c r="C33" s="44">
        <v>1530</v>
      </c>
      <c r="D33" s="28" t="s">
        <v>1037</v>
      </c>
      <c r="E33" s="27" t="s">
        <v>1228</v>
      </c>
      <c r="F33" s="28" t="s">
        <v>1038</v>
      </c>
      <c r="G33" s="12">
        <v>899</v>
      </c>
      <c r="H33" s="13">
        <f t="shared" si="1"/>
        <v>46741</v>
      </c>
      <c r="I33" s="12">
        <v>32</v>
      </c>
    </row>
    <row r="34" spans="1:10">
      <c r="A34" s="41" t="s">
        <v>1223</v>
      </c>
      <c r="B34" s="41" t="s">
        <v>1392</v>
      </c>
      <c r="C34" s="44">
        <v>1656</v>
      </c>
      <c r="D34" s="28" t="s">
        <v>146</v>
      </c>
      <c r="E34" s="27" t="s">
        <v>1039</v>
      </c>
      <c r="F34" s="28" t="s">
        <v>1040</v>
      </c>
      <c r="G34" s="12">
        <v>1876</v>
      </c>
      <c r="H34" s="13">
        <f t="shared" si="1"/>
        <v>46508</v>
      </c>
      <c r="I34" s="12">
        <v>33</v>
      </c>
    </row>
    <row r="35" spans="1:10">
      <c r="A35" s="41" t="s">
        <v>10</v>
      </c>
      <c r="B35" s="41" t="s">
        <v>1398</v>
      </c>
      <c r="C35" s="43">
        <v>1430</v>
      </c>
      <c r="D35" s="28" t="s">
        <v>164</v>
      </c>
      <c r="E35" s="27" t="s">
        <v>1041</v>
      </c>
      <c r="F35" s="28" t="s">
        <v>165</v>
      </c>
      <c r="G35" s="12">
        <v>1430</v>
      </c>
      <c r="H35" s="13">
        <f t="shared" si="1"/>
        <v>46173</v>
      </c>
      <c r="I35" s="12">
        <v>34</v>
      </c>
    </row>
    <row r="36" spans="1:10">
      <c r="A36" s="18" t="s">
        <v>51</v>
      </c>
      <c r="B36" s="37">
        <v>45413</v>
      </c>
      <c r="C36" s="44">
        <v>399</v>
      </c>
      <c r="D36" s="29" t="s">
        <v>167</v>
      </c>
      <c r="E36" s="36" t="s">
        <v>166</v>
      </c>
      <c r="F36" s="29" t="s">
        <v>167</v>
      </c>
      <c r="G36" s="15">
        <v>520</v>
      </c>
      <c r="H36" s="14">
        <f t="shared" si="1"/>
        <v>46508</v>
      </c>
      <c r="I36" s="15">
        <v>35</v>
      </c>
    </row>
    <row r="37" spans="1:10">
      <c r="A37" s="19" t="s">
        <v>351</v>
      </c>
      <c r="B37" s="39">
        <v>44896</v>
      </c>
      <c r="C37" s="41">
        <v>87.91</v>
      </c>
      <c r="D37" s="25" t="s">
        <v>168</v>
      </c>
      <c r="E37" s="25" t="s">
        <v>1042</v>
      </c>
      <c r="F37" s="25" t="s">
        <v>168</v>
      </c>
      <c r="G37">
        <v>88.9</v>
      </c>
      <c r="H37" s="4">
        <f t="shared" si="1"/>
        <v>45991</v>
      </c>
      <c r="I37">
        <v>36</v>
      </c>
    </row>
    <row r="38" spans="1:10">
      <c r="A38" s="41" t="s">
        <v>1223</v>
      </c>
      <c r="B38" s="41" t="s">
        <v>1385</v>
      </c>
      <c r="C38" s="44">
        <v>760</v>
      </c>
      <c r="D38" s="28" t="s">
        <v>169</v>
      </c>
      <c r="E38" s="27" t="s">
        <v>1043</v>
      </c>
      <c r="F38" s="28" t="s">
        <v>170</v>
      </c>
      <c r="G38" s="40">
        <v>295</v>
      </c>
      <c r="H38" s="13">
        <f t="shared" si="1"/>
        <v>46753</v>
      </c>
      <c r="I38" s="12">
        <v>37</v>
      </c>
    </row>
    <row r="39" spans="1:10">
      <c r="A39" s="19" t="s">
        <v>351</v>
      </c>
      <c r="B39" s="37"/>
      <c r="C39" s="44">
        <v>544</v>
      </c>
      <c r="D39" s="29" t="s">
        <v>1044</v>
      </c>
      <c r="E39" s="36" t="s">
        <v>171</v>
      </c>
      <c r="F39" s="29" t="s">
        <v>172</v>
      </c>
      <c r="G39" s="40">
        <v>544</v>
      </c>
      <c r="H39" s="14">
        <f t="shared" si="1"/>
        <v>1095</v>
      </c>
      <c r="I39" s="15">
        <v>38</v>
      </c>
    </row>
    <row r="40" spans="1:10">
      <c r="A40" s="18" t="s">
        <v>351</v>
      </c>
      <c r="B40" s="39">
        <v>45323</v>
      </c>
      <c r="C40" s="44">
        <v>196.9</v>
      </c>
      <c r="D40" s="25" t="s">
        <v>173</v>
      </c>
      <c r="E40" s="25" t="s">
        <v>1045</v>
      </c>
      <c r="F40" s="25" t="s">
        <v>173</v>
      </c>
      <c r="G40" s="40">
        <v>520</v>
      </c>
      <c r="H40" s="4">
        <f t="shared" si="1"/>
        <v>46418</v>
      </c>
      <c r="I40">
        <v>39</v>
      </c>
    </row>
    <row r="41" spans="1:10">
      <c r="A41" s="19" t="s">
        <v>351</v>
      </c>
      <c r="B41" s="38"/>
      <c r="C41" s="44">
        <v>1525</v>
      </c>
      <c r="D41" s="28" t="s">
        <v>174</v>
      </c>
      <c r="E41" s="27" t="s">
        <v>1046</v>
      </c>
      <c r="F41" s="28" t="s">
        <v>175</v>
      </c>
      <c r="G41" s="12">
        <v>2380</v>
      </c>
      <c r="H41" s="13">
        <f t="shared" si="1"/>
        <v>1095</v>
      </c>
      <c r="I41" s="12">
        <v>40</v>
      </c>
      <c r="J41" s="26" t="s">
        <v>1222</v>
      </c>
    </row>
    <row r="42" spans="1:10">
      <c r="A42" s="18" t="s">
        <v>351</v>
      </c>
      <c r="B42" s="37">
        <v>45597</v>
      </c>
      <c r="C42" s="44">
        <v>144</v>
      </c>
      <c r="D42" s="29" t="s">
        <v>177</v>
      </c>
      <c r="E42" s="36" t="s">
        <v>176</v>
      </c>
      <c r="F42" s="29" t="s">
        <v>177</v>
      </c>
      <c r="G42" s="15">
        <v>199</v>
      </c>
      <c r="H42" s="14">
        <f t="shared" si="1"/>
        <v>46692</v>
      </c>
      <c r="I42" s="15">
        <v>41</v>
      </c>
    </row>
    <row r="43" spans="1:10">
      <c r="A43" s="18" t="s">
        <v>351</v>
      </c>
      <c r="B43" s="38"/>
      <c r="C43" s="45">
        <v>32.799999999999997</v>
      </c>
      <c r="D43" s="28" t="s">
        <v>180</v>
      </c>
      <c r="E43" s="27" t="s">
        <v>1047</v>
      </c>
      <c r="F43" s="28" t="s">
        <v>181</v>
      </c>
      <c r="G43" s="12">
        <v>32.5</v>
      </c>
      <c r="H43" s="13">
        <f t="shared" si="1"/>
        <v>1095</v>
      </c>
      <c r="I43" s="12">
        <v>42</v>
      </c>
    </row>
    <row r="44" spans="1:10">
      <c r="A44" s="18" t="s">
        <v>351</v>
      </c>
      <c r="B44" s="41" t="s">
        <v>1399</v>
      </c>
      <c r="C44" s="44">
        <v>212</v>
      </c>
      <c r="D44" s="25" t="s">
        <v>183</v>
      </c>
      <c r="E44" s="25" t="s">
        <v>182</v>
      </c>
      <c r="F44" s="25" t="s">
        <v>184</v>
      </c>
      <c r="G44">
        <v>228</v>
      </c>
      <c r="H44" s="4">
        <f t="shared" si="1"/>
        <v>46203</v>
      </c>
      <c r="I44">
        <v>43</v>
      </c>
    </row>
    <row r="45" spans="1:10">
      <c r="A45" s="19" t="s">
        <v>351</v>
      </c>
      <c r="B45" s="41" t="s">
        <v>1400</v>
      </c>
      <c r="C45" s="41">
        <v>229</v>
      </c>
      <c r="D45" s="29" t="s">
        <v>1048</v>
      </c>
      <c r="E45" s="36" t="s">
        <v>1229</v>
      </c>
      <c r="F45" s="29" t="s">
        <v>185</v>
      </c>
      <c r="G45" s="15">
        <v>205</v>
      </c>
      <c r="H45" s="14">
        <f t="shared" si="1"/>
        <v>46546</v>
      </c>
      <c r="I45" s="15">
        <v>44</v>
      </c>
    </row>
    <row r="46" spans="1:10">
      <c r="A46" s="18" t="s">
        <v>351</v>
      </c>
      <c r="B46" s="41" t="s">
        <v>1400</v>
      </c>
      <c r="C46" s="41">
        <v>229</v>
      </c>
      <c r="D46" s="25" t="s">
        <v>1048</v>
      </c>
      <c r="E46" s="25" t="s">
        <v>1230</v>
      </c>
      <c r="F46" s="25" t="s">
        <v>185</v>
      </c>
      <c r="G46">
        <v>205</v>
      </c>
      <c r="H46" s="4">
        <f t="shared" si="1"/>
        <v>46546</v>
      </c>
      <c r="I46">
        <v>45</v>
      </c>
    </row>
    <row r="47" spans="1:10">
      <c r="A47" s="41" t="s">
        <v>1223</v>
      </c>
      <c r="B47" s="41" t="s">
        <v>1401</v>
      </c>
      <c r="C47" s="44">
        <v>898</v>
      </c>
      <c r="D47" s="28" t="s">
        <v>187</v>
      </c>
      <c r="E47" s="27" t="s">
        <v>186</v>
      </c>
      <c r="F47" s="28" t="s">
        <v>188</v>
      </c>
      <c r="G47" s="12">
        <v>515</v>
      </c>
      <c r="H47" s="13">
        <f t="shared" si="1"/>
        <v>46814</v>
      </c>
      <c r="I47" s="12">
        <v>46</v>
      </c>
    </row>
    <row r="48" spans="1:10">
      <c r="A48" s="41" t="s">
        <v>1223</v>
      </c>
      <c r="B48" s="41" t="s">
        <v>1402</v>
      </c>
      <c r="C48" s="44">
        <v>300</v>
      </c>
      <c r="D48" s="25" t="s">
        <v>190</v>
      </c>
      <c r="E48" s="25" t="s">
        <v>1049</v>
      </c>
      <c r="F48" s="25" t="s">
        <v>190</v>
      </c>
      <c r="G48">
        <v>299</v>
      </c>
      <c r="H48" s="4">
        <f t="shared" si="1"/>
        <v>46790</v>
      </c>
      <c r="I48">
        <v>47</v>
      </c>
    </row>
    <row r="49" spans="1:9">
      <c r="A49" s="41" t="s">
        <v>1223</v>
      </c>
      <c r="B49" s="41" t="s">
        <v>1402</v>
      </c>
      <c r="C49" s="44">
        <v>300</v>
      </c>
      <c r="D49" s="29" t="s">
        <v>189</v>
      </c>
      <c r="E49" s="36" t="s">
        <v>1050</v>
      </c>
      <c r="F49" s="29" t="s">
        <v>189</v>
      </c>
      <c r="G49" s="15">
        <v>475</v>
      </c>
      <c r="H49" s="14">
        <f>B49+1825</f>
        <v>47520</v>
      </c>
      <c r="I49" s="15">
        <v>48</v>
      </c>
    </row>
    <row r="50" spans="1:9">
      <c r="A50" s="18" t="s">
        <v>351</v>
      </c>
      <c r="B50" s="41" t="s">
        <v>1402</v>
      </c>
      <c r="C50" s="41">
        <v>197</v>
      </c>
      <c r="D50" s="28" t="s">
        <v>192</v>
      </c>
      <c r="E50" s="27" t="s">
        <v>191</v>
      </c>
      <c r="F50" s="28" t="s">
        <v>192</v>
      </c>
      <c r="G50" s="12">
        <v>249</v>
      </c>
      <c r="H50" s="13">
        <f>B50+1096</f>
        <v>46791</v>
      </c>
      <c r="I50" s="12">
        <v>49</v>
      </c>
    </row>
    <row r="51" spans="1:9">
      <c r="A51" s="41" t="s">
        <v>10</v>
      </c>
      <c r="B51" s="41" t="s">
        <v>1385</v>
      </c>
      <c r="C51" s="46">
        <v>479</v>
      </c>
      <c r="D51" s="28" t="s">
        <v>193</v>
      </c>
      <c r="E51" s="27" t="s">
        <v>1051</v>
      </c>
      <c r="F51" s="28" t="s">
        <v>194</v>
      </c>
      <c r="G51" s="12">
        <v>479</v>
      </c>
      <c r="H51" s="13">
        <f>B51+1095</f>
        <v>46753</v>
      </c>
      <c r="I51" s="12">
        <v>50</v>
      </c>
    </row>
    <row r="52" spans="1:9">
      <c r="A52" s="41" t="s">
        <v>10</v>
      </c>
      <c r="B52" s="41"/>
      <c r="C52" s="46">
        <v>2000</v>
      </c>
      <c r="D52" s="29" t="s">
        <v>195</v>
      </c>
      <c r="E52" s="36" t="s">
        <v>1052</v>
      </c>
      <c r="F52" s="29" t="s">
        <v>195</v>
      </c>
      <c r="G52" s="15">
        <v>365</v>
      </c>
      <c r="H52" s="14">
        <f>B52+1096</f>
        <v>1096</v>
      </c>
      <c r="I52" s="15">
        <v>51</v>
      </c>
    </row>
    <row r="53" spans="1:9">
      <c r="A53" s="41" t="s">
        <v>1223</v>
      </c>
      <c r="B53" s="41" t="s">
        <v>1388</v>
      </c>
      <c r="C53" s="44">
        <v>300</v>
      </c>
      <c r="D53" s="25" t="s">
        <v>197</v>
      </c>
      <c r="E53" s="25" t="s">
        <v>196</v>
      </c>
      <c r="F53" s="25" t="s">
        <v>197</v>
      </c>
      <c r="G53">
        <v>241</v>
      </c>
      <c r="H53" s="4">
        <f>B53+1825</f>
        <v>47330</v>
      </c>
      <c r="I53">
        <v>52</v>
      </c>
    </row>
    <row r="54" spans="1:9">
      <c r="A54" s="41" t="s">
        <v>10</v>
      </c>
      <c r="B54" s="41"/>
      <c r="C54" s="46">
        <v>289</v>
      </c>
      <c r="D54" s="25" t="s">
        <v>1232</v>
      </c>
      <c r="E54" s="25" t="s">
        <v>1231</v>
      </c>
      <c r="F54" s="25" t="s">
        <v>198</v>
      </c>
      <c r="G54">
        <v>299</v>
      </c>
      <c r="H54" s="4">
        <f t="shared" ref="H54:H60" si="2">B54+1095</f>
        <v>1095</v>
      </c>
      <c r="I54">
        <v>53</v>
      </c>
    </row>
    <row r="55" spans="1:9">
      <c r="A55" s="41" t="s">
        <v>10</v>
      </c>
      <c r="B55" s="41"/>
      <c r="C55" s="46">
        <v>289</v>
      </c>
      <c r="D55" s="28" t="s">
        <v>1232</v>
      </c>
      <c r="E55" s="27" t="s">
        <v>1233</v>
      </c>
      <c r="F55" s="28" t="s">
        <v>198</v>
      </c>
      <c r="G55" s="12">
        <v>240</v>
      </c>
      <c r="H55" s="13">
        <f t="shared" si="2"/>
        <v>1095</v>
      </c>
      <c r="I55" s="12">
        <v>54</v>
      </c>
    </row>
    <row r="56" spans="1:9">
      <c r="A56" s="19" t="s">
        <v>351</v>
      </c>
      <c r="B56" s="38">
        <v>45778</v>
      </c>
      <c r="D56" s="28" t="s">
        <v>215</v>
      </c>
      <c r="E56" s="27" t="s">
        <v>214</v>
      </c>
      <c r="F56" s="28" t="s">
        <v>216</v>
      </c>
      <c r="G56" s="12">
        <v>419</v>
      </c>
      <c r="H56" s="13">
        <f t="shared" si="2"/>
        <v>46873</v>
      </c>
      <c r="I56" s="12">
        <v>55</v>
      </c>
    </row>
    <row r="57" spans="1:9">
      <c r="A57" s="41" t="s">
        <v>1223</v>
      </c>
      <c r="B57" s="41"/>
      <c r="C57" s="44">
        <v>406</v>
      </c>
      <c r="D57" s="29" t="s">
        <v>1054</v>
      </c>
      <c r="E57" s="36" t="s">
        <v>1053</v>
      </c>
      <c r="F57" s="29" t="s">
        <v>1054</v>
      </c>
      <c r="G57" s="15">
        <v>698</v>
      </c>
      <c r="H57" s="14">
        <f t="shared" si="2"/>
        <v>1095</v>
      </c>
      <c r="I57" s="15">
        <v>56</v>
      </c>
    </row>
    <row r="58" spans="1:9">
      <c r="A58" s="41" t="s">
        <v>1223</v>
      </c>
      <c r="B58" s="41" t="s">
        <v>1401</v>
      </c>
      <c r="C58" s="44">
        <v>698</v>
      </c>
      <c r="D58" s="25" t="s">
        <v>218</v>
      </c>
      <c r="E58" s="25" t="s">
        <v>1055</v>
      </c>
      <c r="F58" s="25" t="s">
        <v>219</v>
      </c>
      <c r="G58">
        <v>799</v>
      </c>
      <c r="H58" s="4">
        <f t="shared" si="2"/>
        <v>46814</v>
      </c>
      <c r="I58">
        <v>57</v>
      </c>
    </row>
    <row r="59" spans="1:9">
      <c r="A59" s="41" t="s">
        <v>1223</v>
      </c>
      <c r="B59" s="41" t="s">
        <v>1401</v>
      </c>
      <c r="C59" s="44">
        <v>961</v>
      </c>
      <c r="D59" s="28" t="s">
        <v>221</v>
      </c>
      <c r="E59" s="27" t="s">
        <v>220</v>
      </c>
      <c r="F59" s="28" t="s">
        <v>222</v>
      </c>
      <c r="G59" s="12">
        <v>379</v>
      </c>
      <c r="H59" s="13">
        <f t="shared" si="2"/>
        <v>46814</v>
      </c>
      <c r="I59" s="12">
        <v>58</v>
      </c>
    </row>
    <row r="60" spans="1:9">
      <c r="A60" s="41" t="s">
        <v>1223</v>
      </c>
      <c r="B60" s="41" t="s">
        <v>1384</v>
      </c>
      <c r="C60" s="44">
        <v>380</v>
      </c>
      <c r="D60" s="25" t="s">
        <v>223</v>
      </c>
      <c r="E60" s="25" t="s">
        <v>1056</v>
      </c>
      <c r="F60" s="25" t="s">
        <v>224</v>
      </c>
      <c r="G60">
        <v>136.80000000000001</v>
      </c>
      <c r="H60" s="4">
        <f t="shared" si="2"/>
        <v>46478</v>
      </c>
      <c r="I60">
        <v>59</v>
      </c>
    </row>
    <row r="61" spans="1:9">
      <c r="A61" s="19" t="s">
        <v>351</v>
      </c>
      <c r="B61" s="39">
        <v>45505</v>
      </c>
      <c r="D61" s="25" t="s">
        <v>231</v>
      </c>
      <c r="E61" s="25" t="s">
        <v>230</v>
      </c>
      <c r="F61" s="25" t="s">
        <v>232</v>
      </c>
      <c r="G61">
        <v>205</v>
      </c>
      <c r="H61" s="4">
        <f>B61+1825</f>
        <v>47330</v>
      </c>
      <c r="I61">
        <v>60</v>
      </c>
    </row>
    <row r="62" spans="1:9">
      <c r="A62" s="41" t="s">
        <v>1223</v>
      </c>
      <c r="B62" s="41" t="s">
        <v>1403</v>
      </c>
      <c r="C62" s="44">
        <v>205</v>
      </c>
      <c r="D62" s="29" t="s">
        <v>235</v>
      </c>
      <c r="E62" s="36" t="s">
        <v>1057</v>
      </c>
      <c r="F62" s="29" t="s">
        <v>236</v>
      </c>
      <c r="G62" s="40">
        <v>169</v>
      </c>
      <c r="H62" s="14">
        <f>B62+1825</f>
        <v>47339</v>
      </c>
      <c r="I62" s="15">
        <v>61</v>
      </c>
    </row>
    <row r="63" spans="1:9">
      <c r="A63" s="41" t="s">
        <v>1223</v>
      </c>
      <c r="B63" s="41" t="s">
        <v>1388</v>
      </c>
      <c r="C63" s="44">
        <v>175</v>
      </c>
      <c r="D63" s="25" t="s">
        <v>238</v>
      </c>
      <c r="E63" s="25" t="s">
        <v>237</v>
      </c>
      <c r="F63" s="25" t="s">
        <v>239</v>
      </c>
      <c r="G63" s="40">
        <v>118.8</v>
      </c>
      <c r="H63" s="4">
        <f>B63+1095</f>
        <v>46600</v>
      </c>
      <c r="I63">
        <v>62</v>
      </c>
    </row>
    <row r="64" spans="1:9">
      <c r="A64" s="41" t="s">
        <v>1223</v>
      </c>
      <c r="B64" s="41" t="s">
        <v>1392</v>
      </c>
      <c r="C64" s="44">
        <v>118.8</v>
      </c>
      <c r="D64" s="28" t="s">
        <v>240</v>
      </c>
      <c r="E64" s="27" t="s">
        <v>1058</v>
      </c>
      <c r="F64" s="28" t="s">
        <v>241</v>
      </c>
      <c r="G64" s="12">
        <v>179</v>
      </c>
      <c r="H64" s="13">
        <f>B64+1095</f>
        <v>46508</v>
      </c>
      <c r="I64" s="12">
        <v>63</v>
      </c>
    </row>
    <row r="65" spans="1:9">
      <c r="A65" s="18" t="s">
        <v>351</v>
      </c>
      <c r="B65" s="39">
        <v>45413</v>
      </c>
      <c r="D65" s="25" t="s">
        <v>250</v>
      </c>
      <c r="E65" s="25" t="s">
        <v>249</v>
      </c>
      <c r="F65" s="25" t="s">
        <v>251</v>
      </c>
      <c r="G65">
        <v>399</v>
      </c>
      <c r="H65" s="4">
        <f>B65+1095</f>
        <v>46508</v>
      </c>
      <c r="I65">
        <v>64</v>
      </c>
    </row>
    <row r="66" spans="1:9">
      <c r="A66" s="41" t="s">
        <v>10</v>
      </c>
      <c r="B66" s="41"/>
      <c r="C66" s="46">
        <v>105</v>
      </c>
      <c r="D66" s="29" t="s">
        <v>254</v>
      </c>
      <c r="E66" s="36" t="s">
        <v>1059</v>
      </c>
      <c r="F66" s="29" t="s">
        <v>255</v>
      </c>
      <c r="G66" s="15">
        <v>57.4</v>
      </c>
      <c r="H66" s="14">
        <f>B66+1825</f>
        <v>1825</v>
      </c>
      <c r="I66" s="15">
        <v>65</v>
      </c>
    </row>
    <row r="67" spans="1:9">
      <c r="A67" s="19" t="s">
        <v>351</v>
      </c>
      <c r="B67" s="39">
        <v>45383</v>
      </c>
      <c r="D67" s="25" t="s">
        <v>257</v>
      </c>
      <c r="E67" s="25" t="s">
        <v>256</v>
      </c>
      <c r="F67" s="25" t="s">
        <v>258</v>
      </c>
      <c r="G67">
        <v>215</v>
      </c>
      <c r="H67" s="4">
        <f>B67+1095</f>
        <v>46478</v>
      </c>
      <c r="I67">
        <v>66</v>
      </c>
    </row>
    <row r="68" spans="1:9">
      <c r="A68" s="41" t="s">
        <v>10</v>
      </c>
      <c r="B68" s="41"/>
      <c r="C68" s="46">
        <v>199</v>
      </c>
      <c r="D68" s="29" t="s">
        <v>260</v>
      </c>
      <c r="E68" s="36" t="s">
        <v>1060</v>
      </c>
      <c r="F68" s="29" t="s">
        <v>261</v>
      </c>
      <c r="G68" s="15">
        <v>321</v>
      </c>
      <c r="H68" s="14">
        <f>B68+1095</f>
        <v>1095</v>
      </c>
      <c r="I68" s="15">
        <v>67</v>
      </c>
    </row>
    <row r="69" spans="1:9">
      <c r="A69" s="41" t="s">
        <v>10</v>
      </c>
      <c r="B69" s="41" t="s">
        <v>1404</v>
      </c>
      <c r="C69" s="46">
        <v>239</v>
      </c>
      <c r="D69" s="28" t="s">
        <v>263</v>
      </c>
      <c r="E69" s="27" t="s">
        <v>262</v>
      </c>
      <c r="F69" s="28" t="s">
        <v>264</v>
      </c>
      <c r="G69" s="12">
        <v>256</v>
      </c>
      <c r="H69" s="13">
        <f>B69+1825</f>
        <v>47269</v>
      </c>
      <c r="I69" s="12">
        <v>68</v>
      </c>
    </row>
    <row r="70" spans="1:9">
      <c r="A70" s="41" t="s">
        <v>10</v>
      </c>
      <c r="B70" s="41" t="s">
        <v>1405</v>
      </c>
      <c r="C70" s="46">
        <v>319</v>
      </c>
      <c r="D70" s="29" t="s">
        <v>265</v>
      </c>
      <c r="E70" s="36" t="s">
        <v>1061</v>
      </c>
      <c r="F70" s="29" t="s">
        <v>266</v>
      </c>
      <c r="G70" s="15">
        <v>350</v>
      </c>
      <c r="H70" s="14">
        <f t="shared" ref="H70:H76" si="3">B70+1095</f>
        <v>46904</v>
      </c>
      <c r="I70" s="15">
        <v>69</v>
      </c>
    </row>
    <row r="71" spans="1:9">
      <c r="A71" s="41" t="s">
        <v>10</v>
      </c>
      <c r="B71" s="41" t="s">
        <v>1394</v>
      </c>
      <c r="C71" s="46">
        <v>270</v>
      </c>
      <c r="D71" s="25" t="s">
        <v>267</v>
      </c>
      <c r="E71" s="25" t="s">
        <v>1062</v>
      </c>
      <c r="F71" s="25" t="s">
        <v>267</v>
      </c>
      <c r="G71">
        <v>999</v>
      </c>
      <c r="H71" s="4">
        <f t="shared" si="3"/>
        <v>46784</v>
      </c>
      <c r="I71">
        <v>70</v>
      </c>
    </row>
    <row r="72" spans="1:9">
      <c r="A72" s="41" t="s">
        <v>1223</v>
      </c>
      <c r="B72" s="41" t="s">
        <v>1385</v>
      </c>
      <c r="C72" s="44">
        <v>1085</v>
      </c>
      <c r="D72" s="29" t="s">
        <v>271</v>
      </c>
      <c r="E72" s="36" t="s">
        <v>1063</v>
      </c>
      <c r="F72" s="29" t="s">
        <v>272</v>
      </c>
      <c r="G72" s="40">
        <v>191.6</v>
      </c>
      <c r="H72" s="14">
        <f t="shared" si="3"/>
        <v>46753</v>
      </c>
      <c r="I72" s="15">
        <v>71</v>
      </c>
    </row>
    <row r="73" spans="1:9">
      <c r="A73" s="41" t="s">
        <v>10</v>
      </c>
      <c r="B73" s="41"/>
      <c r="C73" s="46">
        <v>62.7</v>
      </c>
      <c r="D73" s="25" t="s">
        <v>277</v>
      </c>
      <c r="E73" s="25" t="s">
        <v>1064</v>
      </c>
      <c r="F73" s="25" t="s">
        <v>277</v>
      </c>
      <c r="G73">
        <v>121</v>
      </c>
      <c r="H73" s="4">
        <f t="shared" si="3"/>
        <v>1095</v>
      </c>
      <c r="I73">
        <v>72</v>
      </c>
    </row>
    <row r="74" spans="1:9">
      <c r="A74" s="41" t="s">
        <v>1223</v>
      </c>
      <c r="B74" s="41"/>
      <c r="C74" s="44">
        <v>121</v>
      </c>
      <c r="D74" s="29" t="s">
        <v>282</v>
      </c>
      <c r="E74" s="36" t="s">
        <v>281</v>
      </c>
      <c r="F74" s="29" t="s">
        <v>283</v>
      </c>
      <c r="G74" s="15">
        <v>138</v>
      </c>
      <c r="H74" s="14">
        <f t="shared" si="3"/>
        <v>1095</v>
      </c>
      <c r="I74" s="15">
        <v>73</v>
      </c>
    </row>
    <row r="75" spans="1:9">
      <c r="A75" s="41" t="s">
        <v>1223</v>
      </c>
      <c r="B75" s="41" t="s">
        <v>1406</v>
      </c>
      <c r="C75" s="44">
        <v>135.5</v>
      </c>
      <c r="D75" s="25" t="s">
        <v>285</v>
      </c>
      <c r="E75" s="25" t="s">
        <v>1065</v>
      </c>
      <c r="F75" s="25" t="s">
        <v>286</v>
      </c>
      <c r="G75">
        <v>129</v>
      </c>
      <c r="H75" s="4">
        <f t="shared" si="3"/>
        <v>46850</v>
      </c>
      <c r="I75">
        <v>74</v>
      </c>
    </row>
    <row r="76" spans="1:9">
      <c r="A76" s="41" t="s">
        <v>10</v>
      </c>
      <c r="B76" s="41" t="s">
        <v>1385</v>
      </c>
      <c r="C76" s="46">
        <v>105.9</v>
      </c>
      <c r="D76" s="28" t="s">
        <v>288</v>
      </c>
      <c r="E76" s="27" t="s">
        <v>1066</v>
      </c>
      <c r="F76" s="28" t="s">
        <v>289</v>
      </c>
      <c r="G76" s="12">
        <v>135</v>
      </c>
      <c r="H76" s="13">
        <f t="shared" si="3"/>
        <v>46753</v>
      </c>
      <c r="I76" s="12">
        <v>75</v>
      </c>
    </row>
    <row r="77" spans="1:9">
      <c r="A77" s="41" t="s">
        <v>10</v>
      </c>
      <c r="B77" s="41" t="s">
        <v>1385</v>
      </c>
      <c r="C77" s="46">
        <v>387</v>
      </c>
      <c r="D77" s="29" t="s">
        <v>291</v>
      </c>
      <c r="E77" s="36" t="s">
        <v>290</v>
      </c>
      <c r="F77" s="29" t="s">
        <v>292</v>
      </c>
      <c r="G77" s="15" t="s">
        <v>1219</v>
      </c>
      <c r="H77" s="14">
        <f>B77+1825</f>
        <v>47483</v>
      </c>
      <c r="I77" s="15">
        <v>76</v>
      </c>
    </row>
    <row r="78" spans="1:9">
      <c r="A78" s="18" t="s">
        <v>351</v>
      </c>
      <c r="B78" s="37">
        <v>45689</v>
      </c>
      <c r="D78" s="29" t="s">
        <v>315</v>
      </c>
      <c r="E78" s="36" t="s">
        <v>314</v>
      </c>
      <c r="F78" s="29" t="s">
        <v>316</v>
      </c>
      <c r="G78" s="15">
        <v>435</v>
      </c>
      <c r="H78" s="14">
        <f>B78+1825</f>
        <v>47514</v>
      </c>
      <c r="I78" s="15">
        <v>77</v>
      </c>
    </row>
    <row r="79" spans="1:9">
      <c r="A79" s="41" t="s">
        <v>10</v>
      </c>
      <c r="B79" s="41"/>
      <c r="C79" s="46">
        <v>344</v>
      </c>
      <c r="D79" s="25" t="s">
        <v>293</v>
      </c>
      <c r="E79" s="25" t="s">
        <v>1067</v>
      </c>
      <c r="F79" s="25" t="s">
        <v>294</v>
      </c>
      <c r="G79">
        <v>219</v>
      </c>
      <c r="H79" s="4">
        <f t="shared" ref="H79:H84" si="4">B79+1095</f>
        <v>1095</v>
      </c>
      <c r="I79">
        <v>78</v>
      </c>
    </row>
    <row r="80" spans="1:9">
      <c r="A80" s="18" t="s">
        <v>351</v>
      </c>
      <c r="B80" s="38">
        <v>45536</v>
      </c>
      <c r="D80" s="28" t="s">
        <v>295</v>
      </c>
      <c r="E80" s="27" t="s">
        <v>1068</v>
      </c>
      <c r="F80" s="28" t="s">
        <v>1069</v>
      </c>
      <c r="G80" s="12">
        <v>305</v>
      </c>
      <c r="H80" s="13">
        <f t="shared" si="4"/>
        <v>46631</v>
      </c>
      <c r="I80" s="12">
        <v>79</v>
      </c>
    </row>
    <row r="81" spans="1:10">
      <c r="A81" s="41" t="s">
        <v>10</v>
      </c>
      <c r="B81" s="41" t="s">
        <v>1407</v>
      </c>
      <c r="C81" s="46">
        <v>196</v>
      </c>
      <c r="D81" s="29" t="s">
        <v>1070</v>
      </c>
      <c r="E81" s="36" t="s">
        <v>296</v>
      </c>
      <c r="F81" s="29" t="s">
        <v>1071</v>
      </c>
      <c r="G81" s="15">
        <v>219</v>
      </c>
      <c r="H81" s="14">
        <f t="shared" si="4"/>
        <v>46046</v>
      </c>
      <c r="I81" s="15">
        <v>80</v>
      </c>
    </row>
    <row r="82" spans="1:10">
      <c r="A82" s="41" t="s">
        <v>10</v>
      </c>
      <c r="B82" s="41" t="s">
        <v>1407</v>
      </c>
      <c r="C82" s="46">
        <v>196</v>
      </c>
      <c r="D82" s="25" t="s">
        <v>297</v>
      </c>
      <c r="E82" s="25" t="s">
        <v>1072</v>
      </c>
      <c r="F82" s="25" t="s">
        <v>298</v>
      </c>
      <c r="G82">
        <v>349</v>
      </c>
      <c r="H82" s="4">
        <f t="shared" si="4"/>
        <v>46046</v>
      </c>
      <c r="I82">
        <v>81</v>
      </c>
    </row>
    <row r="83" spans="1:10">
      <c r="A83" s="19" t="s">
        <v>351</v>
      </c>
      <c r="B83" s="38"/>
      <c r="D83" s="28" t="s">
        <v>299</v>
      </c>
      <c r="E83" s="27" t="s">
        <v>1073</v>
      </c>
      <c r="F83" s="28" t="s">
        <v>300</v>
      </c>
      <c r="G83" s="12">
        <v>179</v>
      </c>
      <c r="H83" s="13">
        <f t="shared" si="4"/>
        <v>1095</v>
      </c>
      <c r="I83" s="12">
        <v>82</v>
      </c>
    </row>
    <row r="84" spans="1:10">
      <c r="A84" s="41" t="s">
        <v>1223</v>
      </c>
      <c r="B84" s="41" t="s">
        <v>1408</v>
      </c>
      <c r="C84" s="44">
        <v>199</v>
      </c>
      <c r="D84" s="29" t="s">
        <v>302</v>
      </c>
      <c r="E84" s="36" t="s">
        <v>301</v>
      </c>
      <c r="F84" s="29" t="s">
        <v>303</v>
      </c>
      <c r="G84" s="15">
        <v>170</v>
      </c>
      <c r="H84" s="14">
        <f t="shared" si="4"/>
        <v>45900</v>
      </c>
      <c r="I84" s="15">
        <v>83</v>
      </c>
    </row>
    <row r="85" spans="1:10">
      <c r="A85" s="41" t="s">
        <v>1223</v>
      </c>
      <c r="B85" s="41" t="s">
        <v>1409</v>
      </c>
      <c r="C85" s="44">
        <v>170</v>
      </c>
      <c r="D85" s="25" t="s">
        <v>304</v>
      </c>
      <c r="E85" s="25" t="s">
        <v>1074</v>
      </c>
      <c r="F85" s="25" t="s">
        <v>305</v>
      </c>
      <c r="G85">
        <v>137.30000000000001</v>
      </c>
      <c r="H85" s="4">
        <f>B85+1825</f>
        <v>46961</v>
      </c>
      <c r="I85">
        <v>84</v>
      </c>
    </row>
    <row r="86" spans="1:10">
      <c r="A86" s="41" t="s">
        <v>1223</v>
      </c>
      <c r="B86" s="41" t="s">
        <v>1410</v>
      </c>
      <c r="C86" s="44">
        <v>137.30000000000001</v>
      </c>
      <c r="D86" s="29" t="s">
        <v>308</v>
      </c>
      <c r="E86" s="36" t="s">
        <v>307</v>
      </c>
      <c r="F86" s="29" t="s">
        <v>309</v>
      </c>
      <c r="G86" s="40">
        <v>169</v>
      </c>
      <c r="H86" s="14">
        <f>B86+1825</f>
        <v>46825</v>
      </c>
      <c r="I86" s="15">
        <v>85</v>
      </c>
    </row>
    <row r="87" spans="1:10">
      <c r="A87" s="41" t="s">
        <v>1223</v>
      </c>
      <c r="B87" s="41" t="s">
        <v>1404</v>
      </c>
      <c r="C87" s="44">
        <v>159</v>
      </c>
      <c r="D87" s="25" t="s">
        <v>310</v>
      </c>
      <c r="E87" s="25" t="s">
        <v>1075</v>
      </c>
      <c r="F87" s="25" t="s">
        <v>311</v>
      </c>
      <c r="G87" s="40">
        <v>199</v>
      </c>
      <c r="H87" s="4">
        <f>B87+1095</f>
        <v>46539</v>
      </c>
      <c r="I87">
        <v>86</v>
      </c>
    </row>
    <row r="88" spans="1:10">
      <c r="A88" s="41" t="s">
        <v>1223</v>
      </c>
      <c r="B88" s="41" t="s">
        <v>1411</v>
      </c>
      <c r="C88" s="44">
        <v>240</v>
      </c>
      <c r="D88" s="28" t="s">
        <v>312</v>
      </c>
      <c r="E88" s="27" t="s">
        <v>1076</v>
      </c>
      <c r="F88" s="28" t="s">
        <v>313</v>
      </c>
      <c r="G88" s="12">
        <v>281</v>
      </c>
      <c r="H88" s="13">
        <f>B88+1825</f>
        <v>47787</v>
      </c>
      <c r="I88" s="12">
        <v>87</v>
      </c>
    </row>
    <row r="89" spans="1:10">
      <c r="A89" s="41" t="s">
        <v>10</v>
      </c>
      <c r="B89" s="41" t="s">
        <v>1412</v>
      </c>
      <c r="C89" s="46">
        <v>190</v>
      </c>
      <c r="D89" s="25" t="s">
        <v>317</v>
      </c>
      <c r="E89" s="25" t="s">
        <v>1077</v>
      </c>
      <c r="F89" s="25" t="s">
        <v>318</v>
      </c>
      <c r="G89">
        <v>100</v>
      </c>
      <c r="H89" s="4">
        <f>B89+1825</f>
        <v>47375</v>
      </c>
      <c r="I89">
        <v>88</v>
      </c>
    </row>
    <row r="90" spans="1:10">
      <c r="A90" s="41" t="s">
        <v>10</v>
      </c>
      <c r="B90" s="41" t="s">
        <v>1413</v>
      </c>
      <c r="C90" s="46">
        <v>104.09</v>
      </c>
      <c r="D90" s="28" t="s">
        <v>319</v>
      </c>
      <c r="E90" s="27" t="s">
        <v>1078</v>
      </c>
      <c r="F90" s="28" t="s">
        <v>320</v>
      </c>
      <c r="G90" s="12">
        <v>399</v>
      </c>
      <c r="H90" s="13">
        <f>B90+1095</f>
        <v>46406</v>
      </c>
      <c r="I90" s="12">
        <v>89</v>
      </c>
    </row>
    <row r="91" spans="1:10">
      <c r="A91" s="47" t="s">
        <v>351</v>
      </c>
      <c r="B91" s="41" t="s">
        <v>1414</v>
      </c>
      <c r="C91" s="46">
        <v>115</v>
      </c>
      <c r="D91" s="29" t="s">
        <v>322</v>
      </c>
      <c r="E91" s="36" t="s">
        <v>321</v>
      </c>
      <c r="F91" s="29" t="s">
        <v>323</v>
      </c>
      <c r="G91" s="15">
        <v>79.73</v>
      </c>
      <c r="H91" s="14">
        <f>B91+1095</f>
        <v>46142</v>
      </c>
      <c r="I91" s="15">
        <v>90</v>
      </c>
    </row>
    <row r="92" spans="1:10">
      <c r="A92" s="41" t="s">
        <v>1223</v>
      </c>
      <c r="B92" s="41" t="s">
        <v>1415</v>
      </c>
      <c r="C92" s="44">
        <v>69.900000000000006</v>
      </c>
      <c r="D92" s="29" t="s">
        <v>336</v>
      </c>
      <c r="E92" s="36" t="s">
        <v>1079</v>
      </c>
      <c r="F92" s="29" t="s">
        <v>337</v>
      </c>
      <c r="G92" s="15">
        <v>80.099999999999994</v>
      </c>
      <c r="H92" s="14">
        <f>B92+1825</f>
        <v>47904</v>
      </c>
      <c r="I92" s="15">
        <v>91</v>
      </c>
      <c r="J92" t="s">
        <v>324</v>
      </c>
    </row>
    <row r="93" spans="1:10">
      <c r="A93" s="41" t="s">
        <v>1223</v>
      </c>
      <c r="B93" s="41" t="s">
        <v>1416</v>
      </c>
      <c r="C93" s="44">
        <v>109</v>
      </c>
      <c r="D93" s="28" t="s">
        <v>349</v>
      </c>
      <c r="E93" s="27" t="s">
        <v>1080</v>
      </c>
      <c r="F93" s="28" t="s">
        <v>350</v>
      </c>
      <c r="G93" s="12">
        <v>399</v>
      </c>
      <c r="H93" s="13">
        <f>B93+1095</f>
        <v>46934</v>
      </c>
      <c r="I93" s="12">
        <v>92</v>
      </c>
    </row>
    <row r="94" spans="1:10">
      <c r="A94" s="47" t="s">
        <v>51</v>
      </c>
      <c r="B94" s="41" t="s">
        <v>1417</v>
      </c>
      <c r="C94" s="44">
        <v>409</v>
      </c>
      <c r="D94" s="28" t="s">
        <v>354</v>
      </c>
      <c r="E94" s="27" t="s">
        <v>1081</v>
      </c>
      <c r="F94" s="28" t="s">
        <v>355</v>
      </c>
      <c r="G94" s="12">
        <v>199</v>
      </c>
      <c r="H94" s="13">
        <f>B94+1095</f>
        <v>46938</v>
      </c>
      <c r="I94" s="12">
        <v>93</v>
      </c>
      <c r="J94" t="s">
        <v>352</v>
      </c>
    </row>
    <row r="95" spans="1:10">
      <c r="A95" s="41" t="s">
        <v>1223</v>
      </c>
      <c r="B95" s="41" t="s">
        <v>1418</v>
      </c>
      <c r="C95" s="41">
        <v>179</v>
      </c>
      <c r="D95" s="29" t="s">
        <v>356</v>
      </c>
      <c r="E95" s="36" t="s">
        <v>1082</v>
      </c>
      <c r="F95" s="29" t="s">
        <v>357</v>
      </c>
      <c r="G95" s="15">
        <v>199</v>
      </c>
      <c r="H95" s="14">
        <f>B95+1825</f>
        <v>47610</v>
      </c>
      <c r="I95" s="15">
        <v>94</v>
      </c>
    </row>
    <row r="96" spans="1:10">
      <c r="A96" s="41" t="s">
        <v>1223</v>
      </c>
      <c r="B96" s="41" t="s">
        <v>1405</v>
      </c>
      <c r="C96" s="41">
        <v>197</v>
      </c>
      <c r="D96" s="25" t="s">
        <v>359</v>
      </c>
      <c r="E96" s="25" t="s">
        <v>358</v>
      </c>
      <c r="F96" s="25" t="s">
        <v>360</v>
      </c>
      <c r="G96">
        <v>337</v>
      </c>
      <c r="H96" s="4">
        <f>B96+1095</f>
        <v>46904</v>
      </c>
      <c r="I96">
        <v>95</v>
      </c>
    </row>
    <row r="97" spans="1:9">
      <c r="A97" s="41" t="s">
        <v>1223</v>
      </c>
      <c r="B97" s="41" t="s">
        <v>1392</v>
      </c>
      <c r="C97" s="41">
        <v>603</v>
      </c>
      <c r="D97" s="29" t="s">
        <v>361</v>
      </c>
      <c r="E97" s="36" t="s">
        <v>1083</v>
      </c>
      <c r="F97" s="29" t="s">
        <v>361</v>
      </c>
      <c r="G97" s="15">
        <v>99</v>
      </c>
      <c r="H97" s="14">
        <f>B97+1095</f>
        <v>46508</v>
      </c>
      <c r="I97" s="15">
        <v>96</v>
      </c>
    </row>
    <row r="98" spans="1:9">
      <c r="A98" s="19" t="s">
        <v>351</v>
      </c>
      <c r="B98" s="39">
        <v>45444</v>
      </c>
      <c r="D98" s="25" t="s">
        <v>364</v>
      </c>
      <c r="E98" s="25" t="s">
        <v>363</v>
      </c>
      <c r="F98" s="25" t="s">
        <v>365</v>
      </c>
      <c r="G98">
        <v>165.5</v>
      </c>
      <c r="H98" s="4">
        <f>B98+1825</f>
        <v>47269</v>
      </c>
      <c r="I98">
        <v>97</v>
      </c>
    </row>
    <row r="99" spans="1:9">
      <c r="A99" s="41" t="s">
        <v>1223</v>
      </c>
      <c r="B99" s="41" t="s">
        <v>1404</v>
      </c>
      <c r="C99" s="41">
        <v>399</v>
      </c>
      <c r="D99" s="28" t="s">
        <v>1016</v>
      </c>
      <c r="E99" s="27" t="s">
        <v>1084</v>
      </c>
      <c r="F99" s="28" t="s">
        <v>1017</v>
      </c>
      <c r="G99" s="12">
        <v>160</v>
      </c>
      <c r="H99" s="13">
        <f>B99+1095</f>
        <v>46539</v>
      </c>
      <c r="I99" s="12">
        <v>98</v>
      </c>
    </row>
    <row r="100" spans="1:9">
      <c r="A100" s="41" t="s">
        <v>1223</v>
      </c>
      <c r="B100" s="41" t="s">
        <v>1385</v>
      </c>
      <c r="C100" s="41">
        <v>195</v>
      </c>
      <c r="D100" s="29" t="s">
        <v>1018</v>
      </c>
      <c r="E100" s="36" t="s">
        <v>1085</v>
      </c>
      <c r="F100" s="29" t="s">
        <v>1019</v>
      </c>
      <c r="G100" s="15">
        <v>223.5</v>
      </c>
      <c r="H100" s="14">
        <f>B100+1095</f>
        <v>46753</v>
      </c>
      <c r="I100" s="15">
        <v>99</v>
      </c>
    </row>
    <row r="101" spans="1:9">
      <c r="A101" s="41" t="s">
        <v>1223</v>
      </c>
      <c r="B101" s="41"/>
      <c r="C101" s="41">
        <v>329</v>
      </c>
      <c r="D101" s="28" t="s">
        <v>367</v>
      </c>
      <c r="E101" s="27" t="s">
        <v>366</v>
      </c>
      <c r="F101" s="28" t="s">
        <v>368</v>
      </c>
      <c r="G101" s="40">
        <v>279</v>
      </c>
      <c r="H101" s="13">
        <f>B101+1095</f>
        <v>1095</v>
      </c>
      <c r="I101" s="12">
        <v>100</v>
      </c>
    </row>
    <row r="102" spans="1:9">
      <c r="A102" s="41" t="s">
        <v>1223</v>
      </c>
      <c r="B102" s="41" t="s">
        <v>1419</v>
      </c>
      <c r="C102" s="41">
        <v>279</v>
      </c>
      <c r="D102" s="25" t="s">
        <v>369</v>
      </c>
      <c r="E102" s="25" t="s">
        <v>1086</v>
      </c>
      <c r="F102" s="25" t="s">
        <v>370</v>
      </c>
      <c r="G102" s="40">
        <v>325</v>
      </c>
      <c r="H102" s="4">
        <f>B102+1825</f>
        <v>47215</v>
      </c>
      <c r="I102">
        <v>101</v>
      </c>
    </row>
    <row r="103" spans="1:9">
      <c r="A103" s="41" t="s">
        <v>10</v>
      </c>
      <c r="B103" s="41"/>
      <c r="C103" s="41">
        <v>260</v>
      </c>
      <c r="D103" s="29" t="s">
        <v>371</v>
      </c>
      <c r="E103" s="36" t="s">
        <v>1087</v>
      </c>
      <c r="F103" s="29" t="s">
        <v>371</v>
      </c>
      <c r="G103" s="15">
        <v>699</v>
      </c>
      <c r="H103" s="14">
        <f t="shared" ref="H103:H136" si="5">B103+1095</f>
        <v>1095</v>
      </c>
      <c r="I103" s="15">
        <v>102</v>
      </c>
    </row>
    <row r="104" spans="1:9">
      <c r="A104" s="41" t="s">
        <v>10</v>
      </c>
      <c r="B104" s="41"/>
      <c r="C104" s="12" t="s">
        <v>1219</v>
      </c>
      <c r="D104" s="28" t="s">
        <v>375</v>
      </c>
      <c r="E104" s="27" t="s">
        <v>374</v>
      </c>
      <c r="F104" s="28" t="s">
        <v>376</v>
      </c>
      <c r="G104" s="12" t="s">
        <v>1219</v>
      </c>
      <c r="H104" s="13">
        <f t="shared" si="5"/>
        <v>1095</v>
      </c>
      <c r="I104" s="12">
        <v>103</v>
      </c>
    </row>
    <row r="105" spans="1:9">
      <c r="A105" s="41" t="s">
        <v>10</v>
      </c>
      <c r="B105" s="41" t="s">
        <v>1394</v>
      </c>
      <c r="C105" s="48">
        <v>564</v>
      </c>
      <c r="D105" s="29" t="s">
        <v>377</v>
      </c>
      <c r="E105" s="36" t="s">
        <v>1088</v>
      </c>
      <c r="F105" s="29" t="s">
        <v>378</v>
      </c>
      <c r="G105" s="15">
        <v>1777</v>
      </c>
      <c r="H105" s="14">
        <f t="shared" si="5"/>
        <v>46784</v>
      </c>
      <c r="I105" s="15">
        <v>104</v>
      </c>
    </row>
    <row r="106" spans="1:9">
      <c r="A106" s="41" t="s">
        <v>1223</v>
      </c>
      <c r="B106" s="41" t="s">
        <v>1385</v>
      </c>
      <c r="C106" s="48">
        <v>1777</v>
      </c>
      <c r="D106" s="25" t="s">
        <v>380</v>
      </c>
      <c r="E106" s="25" t="s">
        <v>379</v>
      </c>
      <c r="F106" s="25" t="s">
        <v>381</v>
      </c>
      <c r="G106">
        <v>999</v>
      </c>
      <c r="H106" s="4">
        <f t="shared" si="5"/>
        <v>46753</v>
      </c>
      <c r="I106">
        <v>105</v>
      </c>
    </row>
    <row r="107" spans="1:9">
      <c r="A107" s="41" t="s">
        <v>1223</v>
      </c>
      <c r="B107" s="41" t="s">
        <v>1420</v>
      </c>
      <c r="C107" s="48">
        <v>999</v>
      </c>
      <c r="D107" s="28" t="s">
        <v>383</v>
      </c>
      <c r="E107" s="27" t="s">
        <v>382</v>
      </c>
      <c r="F107" s="28" t="s">
        <v>384</v>
      </c>
      <c r="G107" s="12">
        <v>2100</v>
      </c>
      <c r="H107" s="13">
        <f t="shared" si="5"/>
        <v>46631</v>
      </c>
      <c r="I107" s="12">
        <v>106</v>
      </c>
    </row>
    <row r="108" spans="1:9">
      <c r="A108" s="41" t="s">
        <v>1223</v>
      </c>
      <c r="B108" s="41" t="s">
        <v>1421</v>
      </c>
      <c r="C108" s="48">
        <v>2500</v>
      </c>
      <c r="D108" s="29" t="s">
        <v>385</v>
      </c>
      <c r="E108" s="36" t="s">
        <v>1089</v>
      </c>
      <c r="F108" s="29" t="s">
        <v>385</v>
      </c>
      <c r="G108" s="15">
        <v>798</v>
      </c>
      <c r="H108" s="14">
        <f t="shared" si="5"/>
        <v>46722</v>
      </c>
      <c r="I108" s="15">
        <v>107</v>
      </c>
    </row>
    <row r="109" spans="1:9">
      <c r="A109" s="19" t="s">
        <v>351</v>
      </c>
      <c r="B109" s="39">
        <v>45748</v>
      </c>
      <c r="D109" s="25" t="s">
        <v>387</v>
      </c>
      <c r="E109" s="25" t="s">
        <v>386</v>
      </c>
      <c r="F109" s="25" t="s">
        <v>387</v>
      </c>
      <c r="G109">
        <v>3200</v>
      </c>
      <c r="H109" s="4">
        <f t="shared" si="5"/>
        <v>46843</v>
      </c>
      <c r="I109">
        <v>108</v>
      </c>
    </row>
    <row r="110" spans="1:9">
      <c r="A110" s="41" t="s">
        <v>1223</v>
      </c>
      <c r="B110" s="41" t="s">
        <v>1422</v>
      </c>
      <c r="C110" s="41">
        <v>3200</v>
      </c>
      <c r="D110" s="28" t="s">
        <v>389</v>
      </c>
      <c r="E110" s="27" t="s">
        <v>388</v>
      </c>
      <c r="F110" s="28" t="s">
        <v>390</v>
      </c>
      <c r="G110" s="12">
        <v>4448</v>
      </c>
      <c r="H110" s="13">
        <f t="shared" si="5"/>
        <v>46843</v>
      </c>
      <c r="I110" s="12">
        <v>109</v>
      </c>
    </row>
    <row r="111" spans="1:9">
      <c r="A111" s="41" t="s">
        <v>1223</v>
      </c>
      <c r="B111" s="41" t="s">
        <v>1386</v>
      </c>
      <c r="C111" s="41">
        <v>3399</v>
      </c>
      <c r="D111" s="29" t="s">
        <v>391</v>
      </c>
      <c r="E111" s="36" t="s">
        <v>1090</v>
      </c>
      <c r="F111" s="29" t="s">
        <v>391</v>
      </c>
      <c r="G111" s="15" t="s">
        <v>1219</v>
      </c>
      <c r="H111" s="14">
        <f t="shared" si="5"/>
        <v>46569</v>
      </c>
      <c r="I111" s="15">
        <v>110</v>
      </c>
    </row>
    <row r="112" spans="1:9">
      <c r="A112" s="18" t="s">
        <v>351</v>
      </c>
      <c r="B112" s="39">
        <v>45383</v>
      </c>
      <c r="C112" s="12" t="s">
        <v>1219</v>
      </c>
      <c r="D112" s="25" t="s">
        <v>393</v>
      </c>
      <c r="E112" s="25" t="s">
        <v>392</v>
      </c>
      <c r="F112" s="25" t="s">
        <v>394</v>
      </c>
      <c r="G112">
        <v>839</v>
      </c>
      <c r="H112" s="4">
        <f t="shared" si="5"/>
        <v>46478</v>
      </c>
      <c r="I112">
        <v>111</v>
      </c>
    </row>
    <row r="113" spans="1:11">
      <c r="A113" s="41" t="s">
        <v>1223</v>
      </c>
      <c r="B113" s="41" t="s">
        <v>1384</v>
      </c>
      <c r="C113" s="41">
        <v>899</v>
      </c>
      <c r="D113" s="28" t="s">
        <v>396</v>
      </c>
      <c r="E113" s="27" t="s">
        <v>395</v>
      </c>
      <c r="F113" s="28" t="s">
        <v>397</v>
      </c>
      <c r="G113" s="12">
        <v>1250</v>
      </c>
      <c r="H113" s="13">
        <f t="shared" si="5"/>
        <v>46478</v>
      </c>
      <c r="I113" s="12">
        <v>112</v>
      </c>
    </row>
    <row r="114" spans="1:11">
      <c r="A114" s="41" t="s">
        <v>1223</v>
      </c>
      <c r="B114" s="41"/>
      <c r="C114" s="41">
        <v>1400</v>
      </c>
      <c r="D114" s="29" t="s">
        <v>398</v>
      </c>
      <c r="E114" s="36" t="s">
        <v>1091</v>
      </c>
      <c r="F114" s="29" t="s">
        <v>399</v>
      </c>
      <c r="G114" s="15">
        <v>888</v>
      </c>
      <c r="H114" s="14">
        <f t="shared" si="5"/>
        <v>1095</v>
      </c>
      <c r="I114" s="15">
        <v>113</v>
      </c>
    </row>
    <row r="115" spans="1:11">
      <c r="A115" s="19" t="s">
        <v>351</v>
      </c>
      <c r="B115" s="39">
        <v>45809</v>
      </c>
      <c r="D115" s="25" t="s">
        <v>401</v>
      </c>
      <c r="E115" s="25" t="s">
        <v>400</v>
      </c>
      <c r="F115" s="25" t="s">
        <v>402</v>
      </c>
      <c r="G115">
        <v>119.2</v>
      </c>
      <c r="H115" s="4">
        <f t="shared" si="5"/>
        <v>46904</v>
      </c>
      <c r="I115">
        <v>114</v>
      </c>
    </row>
    <row r="116" spans="1:11">
      <c r="A116" s="41" t="s">
        <v>1223</v>
      </c>
      <c r="B116" s="41" t="s">
        <v>1423</v>
      </c>
      <c r="C116" s="41">
        <v>119.2</v>
      </c>
      <c r="D116" s="28" t="s">
        <v>411</v>
      </c>
      <c r="E116" s="27" t="s">
        <v>410</v>
      </c>
      <c r="F116" s="28" t="s">
        <v>412</v>
      </c>
      <c r="G116" s="12">
        <v>82.1</v>
      </c>
      <c r="H116" s="13">
        <f t="shared" si="5"/>
        <v>46916</v>
      </c>
      <c r="I116" s="12">
        <v>115</v>
      </c>
    </row>
    <row r="117" spans="1:11">
      <c r="A117" s="41" t="s">
        <v>1223</v>
      </c>
      <c r="B117" s="41" t="s">
        <v>1424</v>
      </c>
      <c r="C117" s="41">
        <v>64.069999999999993</v>
      </c>
      <c r="D117" s="29" t="s">
        <v>413</v>
      </c>
      <c r="E117" s="36" t="s">
        <v>1092</v>
      </c>
      <c r="F117" s="29" t="s">
        <v>413</v>
      </c>
      <c r="G117" s="15">
        <v>119</v>
      </c>
      <c r="H117" s="14">
        <f t="shared" si="5"/>
        <v>47054</v>
      </c>
      <c r="I117" s="15">
        <v>116</v>
      </c>
      <c r="K117" s="9" t="s">
        <v>217</v>
      </c>
    </row>
    <row r="118" spans="1:11">
      <c r="A118" s="41" t="s">
        <v>10</v>
      </c>
      <c r="B118" s="41"/>
      <c r="C118" s="41">
        <v>95</v>
      </c>
      <c r="D118" s="25" t="s">
        <v>415</v>
      </c>
      <c r="E118" s="25" t="s">
        <v>414</v>
      </c>
      <c r="F118" s="25" t="s">
        <v>416</v>
      </c>
      <c r="G118">
        <v>105</v>
      </c>
      <c r="H118" s="4">
        <f t="shared" si="5"/>
        <v>1095</v>
      </c>
      <c r="I118">
        <v>117</v>
      </c>
    </row>
    <row r="119" spans="1:11">
      <c r="A119" s="41" t="s">
        <v>10</v>
      </c>
      <c r="B119" s="41" t="s">
        <v>1425</v>
      </c>
      <c r="C119" s="41">
        <v>105</v>
      </c>
      <c r="D119" s="28" t="s">
        <v>418</v>
      </c>
      <c r="E119" s="27" t="s">
        <v>417</v>
      </c>
      <c r="F119" s="28" t="s">
        <v>419</v>
      </c>
      <c r="G119" s="12">
        <v>98.4</v>
      </c>
      <c r="H119" s="13">
        <f t="shared" si="5"/>
        <v>47066</v>
      </c>
      <c r="I119" s="12">
        <v>118</v>
      </c>
    </row>
    <row r="120" spans="1:11">
      <c r="A120" s="41" t="s">
        <v>1223</v>
      </c>
      <c r="B120" s="41" t="s">
        <v>1426</v>
      </c>
      <c r="C120" s="41">
        <v>98.4</v>
      </c>
      <c r="D120" s="29" t="s">
        <v>420</v>
      </c>
      <c r="E120" s="36" t="s">
        <v>1093</v>
      </c>
      <c r="F120" s="29" t="s">
        <v>421</v>
      </c>
      <c r="G120" s="15">
        <v>124</v>
      </c>
      <c r="H120" s="14">
        <f t="shared" si="5"/>
        <v>46965</v>
      </c>
      <c r="I120" s="15">
        <v>119</v>
      </c>
      <c r="K120" s="9" t="s">
        <v>225</v>
      </c>
    </row>
    <row r="121" spans="1:11">
      <c r="A121" s="41" t="s">
        <v>1223</v>
      </c>
      <c r="B121" s="41" t="s">
        <v>1427</v>
      </c>
      <c r="C121" s="41">
        <v>169</v>
      </c>
      <c r="D121" s="25" t="s">
        <v>423</v>
      </c>
      <c r="E121" s="25" t="s">
        <v>422</v>
      </c>
      <c r="F121" s="25" t="s">
        <v>424</v>
      </c>
      <c r="G121" t="s">
        <v>1219</v>
      </c>
      <c r="H121" s="4">
        <f t="shared" si="5"/>
        <v>46712</v>
      </c>
      <c r="I121">
        <v>120</v>
      </c>
      <c r="K121" s="9" t="s">
        <v>229</v>
      </c>
    </row>
    <row r="122" spans="1:11">
      <c r="A122" s="19" t="s">
        <v>351</v>
      </c>
      <c r="B122" s="38">
        <v>45748</v>
      </c>
      <c r="D122" s="28" t="s">
        <v>426</v>
      </c>
      <c r="E122" s="27" t="s">
        <v>425</v>
      </c>
      <c r="F122" s="28" t="s">
        <v>427</v>
      </c>
      <c r="G122" s="12">
        <v>95.4</v>
      </c>
      <c r="H122" s="13">
        <f t="shared" si="5"/>
        <v>46843</v>
      </c>
      <c r="I122" s="12">
        <v>121</v>
      </c>
    </row>
    <row r="123" spans="1:11">
      <c r="A123" s="41" t="s">
        <v>1223</v>
      </c>
      <c r="B123" s="41" t="s">
        <v>1422</v>
      </c>
      <c r="C123" s="41">
        <v>95.4</v>
      </c>
      <c r="D123" s="29" t="s">
        <v>428</v>
      </c>
      <c r="E123" s="36" t="s">
        <v>1094</v>
      </c>
      <c r="F123" s="29" t="s">
        <v>429</v>
      </c>
      <c r="G123" s="15">
        <v>208</v>
      </c>
      <c r="H123" s="14">
        <f t="shared" si="5"/>
        <v>46843</v>
      </c>
      <c r="I123" s="15">
        <v>122</v>
      </c>
    </row>
    <row r="124" spans="1:11">
      <c r="A124" s="41" t="s">
        <v>1223</v>
      </c>
      <c r="B124" s="41" t="s">
        <v>1386</v>
      </c>
      <c r="C124" s="41">
        <v>210</v>
      </c>
      <c r="D124" s="25" t="s">
        <v>431</v>
      </c>
      <c r="E124" s="25" t="s">
        <v>430</v>
      </c>
      <c r="F124" s="25" t="s">
        <v>432</v>
      </c>
      <c r="G124">
        <v>223</v>
      </c>
      <c r="H124" s="4">
        <f t="shared" si="5"/>
        <v>46569</v>
      </c>
      <c r="I124">
        <v>123</v>
      </c>
    </row>
    <row r="125" spans="1:11">
      <c r="A125" s="18" t="s">
        <v>351</v>
      </c>
      <c r="B125" s="38">
        <v>45413</v>
      </c>
      <c r="C125" s="15" t="s">
        <v>1219</v>
      </c>
      <c r="D125" s="28" t="s">
        <v>434</v>
      </c>
      <c r="E125" s="27" t="s">
        <v>433</v>
      </c>
      <c r="F125" s="28" t="s">
        <v>435</v>
      </c>
      <c r="G125" s="12">
        <v>235</v>
      </c>
      <c r="H125" s="13">
        <f t="shared" si="5"/>
        <v>46508</v>
      </c>
      <c r="I125" s="12">
        <v>124</v>
      </c>
    </row>
    <row r="126" spans="1:11">
      <c r="A126" s="41" t="s">
        <v>10</v>
      </c>
      <c r="B126" s="41"/>
      <c r="C126" s="41">
        <v>165</v>
      </c>
      <c r="D126" s="29" t="s">
        <v>436</v>
      </c>
      <c r="E126" s="36" t="s">
        <v>1095</v>
      </c>
      <c r="F126" s="29" t="s">
        <v>437</v>
      </c>
      <c r="G126" s="15" t="s">
        <v>1219</v>
      </c>
      <c r="H126" s="14">
        <f t="shared" si="5"/>
        <v>1095</v>
      </c>
      <c r="I126" s="15">
        <v>125</v>
      </c>
    </row>
    <row r="127" spans="1:11">
      <c r="A127" s="18" t="s">
        <v>351</v>
      </c>
      <c r="B127" s="39"/>
      <c r="D127" s="25" t="s">
        <v>439</v>
      </c>
      <c r="E127" s="25" t="s">
        <v>438</v>
      </c>
      <c r="F127" s="25" t="s">
        <v>440</v>
      </c>
      <c r="G127">
        <v>240</v>
      </c>
      <c r="H127" s="4">
        <f t="shared" si="5"/>
        <v>1095</v>
      </c>
      <c r="I127">
        <v>126</v>
      </c>
    </row>
    <row r="128" spans="1:11">
      <c r="A128" s="19" t="s">
        <v>351</v>
      </c>
      <c r="B128" s="38">
        <v>45809</v>
      </c>
      <c r="D128" s="28" t="s">
        <v>442</v>
      </c>
      <c r="E128" s="27" t="s">
        <v>441</v>
      </c>
      <c r="F128" s="28" t="s">
        <v>443</v>
      </c>
      <c r="G128" s="12">
        <v>299</v>
      </c>
      <c r="H128" s="13">
        <f t="shared" si="5"/>
        <v>46904</v>
      </c>
      <c r="I128" s="12">
        <v>127</v>
      </c>
    </row>
    <row r="129" spans="1:11">
      <c r="A129" s="41" t="s">
        <v>1223</v>
      </c>
      <c r="B129" s="41" t="s">
        <v>1405</v>
      </c>
      <c r="C129" s="41">
        <v>300</v>
      </c>
      <c r="D129" s="25" t="s">
        <v>447</v>
      </c>
      <c r="E129" s="25" t="s">
        <v>446</v>
      </c>
      <c r="F129" s="25" t="s">
        <v>447</v>
      </c>
      <c r="G129">
        <v>699</v>
      </c>
      <c r="H129" s="4">
        <f t="shared" si="5"/>
        <v>46904</v>
      </c>
      <c r="I129">
        <v>128</v>
      </c>
    </row>
    <row r="130" spans="1:11">
      <c r="A130" s="41" t="s">
        <v>10</v>
      </c>
      <c r="B130" s="41" t="s">
        <v>1405</v>
      </c>
      <c r="C130" s="41">
        <v>360</v>
      </c>
      <c r="D130" s="28" t="s">
        <v>1235</v>
      </c>
      <c r="E130" s="27" t="s">
        <v>1234</v>
      </c>
      <c r="F130" s="28" t="s">
        <v>1236</v>
      </c>
      <c r="G130" s="12">
        <v>322</v>
      </c>
      <c r="H130" s="13">
        <f t="shared" si="5"/>
        <v>46904</v>
      </c>
      <c r="I130" s="12">
        <v>129</v>
      </c>
    </row>
    <row r="131" spans="1:11">
      <c r="A131" s="41" t="s">
        <v>1223</v>
      </c>
      <c r="B131" s="41" t="s">
        <v>1404</v>
      </c>
      <c r="C131" s="41">
        <v>960</v>
      </c>
      <c r="D131" s="28" t="s">
        <v>469</v>
      </c>
      <c r="E131" s="27" t="s">
        <v>468</v>
      </c>
      <c r="F131" s="28" t="s">
        <v>470</v>
      </c>
      <c r="G131" s="12">
        <v>1040</v>
      </c>
      <c r="H131" s="13">
        <f t="shared" si="5"/>
        <v>46539</v>
      </c>
      <c r="I131" s="12">
        <v>130</v>
      </c>
    </row>
    <row r="132" spans="1:11">
      <c r="A132" s="41" t="s">
        <v>10</v>
      </c>
      <c r="B132" s="41"/>
      <c r="C132" s="41">
        <v>358</v>
      </c>
      <c r="D132" s="25" t="s">
        <v>471</v>
      </c>
      <c r="E132" s="25" t="s">
        <v>1096</v>
      </c>
      <c r="F132" s="25" t="s">
        <v>472</v>
      </c>
      <c r="G132">
        <v>509</v>
      </c>
      <c r="H132" s="4">
        <f t="shared" si="5"/>
        <v>1095</v>
      </c>
      <c r="I132">
        <v>131</v>
      </c>
    </row>
    <row r="133" spans="1:11">
      <c r="A133" s="19" t="s">
        <v>351</v>
      </c>
      <c r="B133" s="38">
        <v>45658</v>
      </c>
      <c r="D133" s="28" t="s">
        <v>479</v>
      </c>
      <c r="E133" s="27" t="s">
        <v>481</v>
      </c>
      <c r="F133" s="28" t="s">
        <v>480</v>
      </c>
      <c r="G133" s="12">
        <v>539</v>
      </c>
      <c r="H133" s="13">
        <f t="shared" si="5"/>
        <v>46753</v>
      </c>
      <c r="I133" s="12">
        <v>132</v>
      </c>
    </row>
    <row r="134" spans="1:11">
      <c r="A134" s="41" t="s">
        <v>1223</v>
      </c>
      <c r="B134" s="41" t="s">
        <v>1428</v>
      </c>
      <c r="C134" s="41">
        <v>599</v>
      </c>
      <c r="D134" s="29" t="s">
        <v>482</v>
      </c>
      <c r="E134" s="36" t="s">
        <v>1097</v>
      </c>
      <c r="F134" s="29" t="s">
        <v>483</v>
      </c>
      <c r="G134" s="15">
        <v>330</v>
      </c>
      <c r="H134" s="14">
        <f t="shared" si="5"/>
        <v>46692</v>
      </c>
      <c r="I134" s="15">
        <v>133</v>
      </c>
    </row>
    <row r="135" spans="1:11">
      <c r="A135" s="41" t="s">
        <v>10</v>
      </c>
      <c r="B135" s="41" t="s">
        <v>1385</v>
      </c>
      <c r="C135" s="41">
        <v>205</v>
      </c>
      <c r="D135" s="25" t="s">
        <v>487</v>
      </c>
      <c r="E135" s="25" t="s">
        <v>486</v>
      </c>
      <c r="F135" s="25" t="s">
        <v>488</v>
      </c>
      <c r="G135">
        <v>215</v>
      </c>
      <c r="H135" s="4">
        <f t="shared" si="5"/>
        <v>46753</v>
      </c>
      <c r="I135">
        <v>134</v>
      </c>
      <c r="J135" t="s">
        <v>484</v>
      </c>
    </row>
    <row r="136" spans="1:11">
      <c r="A136" s="41" t="s">
        <v>1223</v>
      </c>
      <c r="B136" s="41" t="s">
        <v>1394</v>
      </c>
      <c r="C136" s="41">
        <v>299</v>
      </c>
      <c r="D136" s="29" t="s">
        <v>1098</v>
      </c>
      <c r="E136" s="36" t="s">
        <v>489</v>
      </c>
      <c r="F136" s="29" t="s">
        <v>1099</v>
      </c>
      <c r="G136" s="15">
        <v>329</v>
      </c>
      <c r="H136" s="14">
        <f t="shared" si="5"/>
        <v>46784</v>
      </c>
      <c r="I136" s="15">
        <v>135</v>
      </c>
    </row>
    <row r="137" spans="1:11">
      <c r="A137" s="41" t="s">
        <v>1223</v>
      </c>
      <c r="B137" s="41" t="s">
        <v>1404</v>
      </c>
      <c r="C137" s="41">
        <v>330</v>
      </c>
      <c r="D137" s="28" t="s">
        <v>491</v>
      </c>
      <c r="E137" s="27" t="s">
        <v>1100</v>
      </c>
      <c r="F137" s="28" t="s">
        <v>492</v>
      </c>
      <c r="G137" s="40">
        <v>187.5</v>
      </c>
      <c r="H137" s="13">
        <f>B137+1825</f>
        <v>47269</v>
      </c>
      <c r="I137" s="12">
        <v>136</v>
      </c>
    </row>
    <row r="138" spans="1:11">
      <c r="A138" s="41" t="s">
        <v>10</v>
      </c>
      <c r="B138" s="41"/>
      <c r="C138" s="41">
        <v>114.4</v>
      </c>
      <c r="D138" s="29" t="s">
        <v>494</v>
      </c>
      <c r="E138" s="36" t="s">
        <v>493</v>
      </c>
      <c r="F138" s="29" t="s">
        <v>495</v>
      </c>
      <c r="G138" s="40">
        <v>606</v>
      </c>
      <c r="H138" s="14">
        <f t="shared" ref="H138:H147" si="6">B138+1095</f>
        <v>1095</v>
      </c>
      <c r="I138" s="15">
        <v>137</v>
      </c>
    </row>
    <row r="139" spans="1:11">
      <c r="A139" s="41" t="s">
        <v>10</v>
      </c>
      <c r="B139" s="41"/>
      <c r="C139" s="41">
        <v>349</v>
      </c>
      <c r="D139" s="25" t="s">
        <v>497</v>
      </c>
      <c r="E139" s="25" t="s">
        <v>496</v>
      </c>
      <c r="F139" s="25" t="s">
        <v>498</v>
      </c>
      <c r="G139" s="40">
        <v>363</v>
      </c>
      <c r="H139" s="4">
        <f t="shared" si="6"/>
        <v>1095</v>
      </c>
      <c r="I139">
        <v>138</v>
      </c>
    </row>
    <row r="140" spans="1:11">
      <c r="A140" s="19" t="s">
        <v>351</v>
      </c>
      <c r="B140" s="38">
        <v>45413</v>
      </c>
      <c r="D140" s="28" t="s">
        <v>500</v>
      </c>
      <c r="E140" s="27" t="s">
        <v>1101</v>
      </c>
      <c r="F140" s="28" t="s">
        <v>501</v>
      </c>
      <c r="G140" s="12">
        <v>249</v>
      </c>
      <c r="H140" s="13">
        <f t="shared" si="6"/>
        <v>46508</v>
      </c>
      <c r="I140" s="12">
        <v>139</v>
      </c>
    </row>
    <row r="141" spans="1:11">
      <c r="A141" s="41" t="s">
        <v>1223</v>
      </c>
      <c r="B141" s="41" t="s">
        <v>1392</v>
      </c>
      <c r="C141" s="41" t="s">
        <v>1431</v>
      </c>
      <c r="D141" s="29" t="s">
        <v>504</v>
      </c>
      <c r="E141" s="36" t="s">
        <v>503</v>
      </c>
      <c r="F141" s="29" t="s">
        <v>505</v>
      </c>
      <c r="G141" s="15">
        <v>299</v>
      </c>
      <c r="H141" s="14">
        <f t="shared" si="6"/>
        <v>46508</v>
      </c>
      <c r="I141" s="15">
        <v>140</v>
      </c>
    </row>
    <row r="142" spans="1:11">
      <c r="A142" s="41" t="s">
        <v>1223</v>
      </c>
      <c r="B142" s="41" t="s">
        <v>1429</v>
      </c>
      <c r="C142" s="41" t="s">
        <v>1430</v>
      </c>
      <c r="D142" s="25" t="s">
        <v>507</v>
      </c>
      <c r="E142" s="25" t="s">
        <v>506</v>
      </c>
      <c r="F142" s="25" t="s">
        <v>508</v>
      </c>
      <c r="G142">
        <v>599</v>
      </c>
      <c r="H142" s="4">
        <f t="shared" si="6"/>
        <v>46842</v>
      </c>
      <c r="I142">
        <v>141</v>
      </c>
    </row>
    <row r="143" spans="1:11">
      <c r="A143" s="18" t="s">
        <v>351</v>
      </c>
      <c r="B143" s="38">
        <v>45658</v>
      </c>
      <c r="D143" s="28" t="s">
        <v>509</v>
      </c>
      <c r="E143" s="27" t="s">
        <v>1102</v>
      </c>
      <c r="F143" s="28" t="s">
        <v>510</v>
      </c>
      <c r="G143" s="12" t="s">
        <v>1219</v>
      </c>
      <c r="H143" s="13">
        <f t="shared" si="6"/>
        <v>46753</v>
      </c>
      <c r="I143" s="12">
        <v>142</v>
      </c>
    </row>
    <row r="144" spans="1:11">
      <c r="A144" s="41" t="s">
        <v>10</v>
      </c>
      <c r="B144" s="41" t="s">
        <v>1404</v>
      </c>
      <c r="C144" s="48">
        <v>440</v>
      </c>
      <c r="D144" s="25" t="s">
        <v>512</v>
      </c>
      <c r="E144" s="25" t="s">
        <v>511</v>
      </c>
      <c r="F144" s="25" t="s">
        <v>513</v>
      </c>
      <c r="G144">
        <v>129</v>
      </c>
      <c r="H144" s="4">
        <f t="shared" si="6"/>
        <v>46539</v>
      </c>
      <c r="I144">
        <v>143</v>
      </c>
      <c r="K144" s="9" t="s">
        <v>278</v>
      </c>
    </row>
    <row r="145" spans="1:11">
      <c r="A145" s="41" t="s">
        <v>1223</v>
      </c>
      <c r="B145" s="41" t="s">
        <v>1404</v>
      </c>
      <c r="C145" s="48">
        <v>330</v>
      </c>
      <c r="D145" s="28" t="s">
        <v>515</v>
      </c>
      <c r="E145" s="27" t="s">
        <v>514</v>
      </c>
      <c r="F145" s="28" t="s">
        <v>515</v>
      </c>
      <c r="G145" s="12">
        <v>109</v>
      </c>
      <c r="H145" s="13">
        <f t="shared" si="6"/>
        <v>46539</v>
      </c>
      <c r="I145" s="12">
        <v>144</v>
      </c>
      <c r="K145" s="9" t="s">
        <v>42</v>
      </c>
    </row>
    <row r="146" spans="1:11">
      <c r="A146" s="41" t="s">
        <v>10</v>
      </c>
      <c r="B146" s="41" t="s">
        <v>1432</v>
      </c>
      <c r="C146" s="41">
        <v>126.54</v>
      </c>
      <c r="D146" s="29" t="s">
        <v>1104</v>
      </c>
      <c r="E146" s="36" t="s">
        <v>1103</v>
      </c>
      <c r="F146" s="29" t="s">
        <v>1104</v>
      </c>
      <c r="G146" s="15">
        <v>210</v>
      </c>
      <c r="H146" s="14">
        <f t="shared" si="6"/>
        <v>46811</v>
      </c>
      <c r="I146" s="15">
        <v>145</v>
      </c>
      <c r="K146" s="9" t="s">
        <v>284</v>
      </c>
    </row>
    <row r="147" spans="1:11">
      <c r="A147" s="18" t="s">
        <v>351</v>
      </c>
      <c r="B147" s="38">
        <v>45474</v>
      </c>
      <c r="D147" s="28" t="s">
        <v>520</v>
      </c>
      <c r="E147" s="27" t="s">
        <v>519</v>
      </c>
      <c r="F147" s="28" t="s">
        <v>521</v>
      </c>
      <c r="G147" s="12">
        <v>515</v>
      </c>
      <c r="H147" s="13">
        <f t="shared" si="6"/>
        <v>46569</v>
      </c>
      <c r="I147" s="12">
        <v>146</v>
      </c>
      <c r="K147" s="9" t="s">
        <v>287</v>
      </c>
    </row>
    <row r="148" spans="1:11">
      <c r="A148" s="41" t="s">
        <v>10</v>
      </c>
      <c r="B148" s="41"/>
      <c r="C148" s="41">
        <v>599</v>
      </c>
      <c r="D148" s="25" t="s">
        <v>524</v>
      </c>
      <c r="E148" s="25" t="s">
        <v>523</v>
      </c>
      <c r="F148" s="25" t="s">
        <v>525</v>
      </c>
      <c r="G148">
        <v>482</v>
      </c>
      <c r="H148" s="4">
        <f>B148+1895</f>
        <v>1895</v>
      </c>
      <c r="I148">
        <v>147</v>
      </c>
    </row>
    <row r="149" spans="1:11">
      <c r="A149" s="19" t="s">
        <v>351</v>
      </c>
      <c r="B149" s="38">
        <v>44713</v>
      </c>
      <c r="D149" s="28" t="s">
        <v>526</v>
      </c>
      <c r="E149" s="27" t="s">
        <v>1105</v>
      </c>
      <c r="F149" s="28" t="s">
        <v>527</v>
      </c>
      <c r="G149" s="12">
        <v>482</v>
      </c>
      <c r="H149" s="13">
        <f>B149+1895</f>
        <v>46608</v>
      </c>
      <c r="I149" s="12">
        <v>148</v>
      </c>
    </row>
    <row r="150" spans="1:11">
      <c r="A150" s="41" t="s">
        <v>10</v>
      </c>
      <c r="B150" s="41" t="s">
        <v>1392</v>
      </c>
      <c r="C150" s="41">
        <v>230</v>
      </c>
      <c r="D150" s="29" t="s">
        <v>528</v>
      </c>
      <c r="E150" s="36" t="s">
        <v>1106</v>
      </c>
      <c r="F150" s="29" t="s">
        <v>529</v>
      </c>
      <c r="G150" s="15" t="s">
        <v>1219</v>
      </c>
      <c r="H150" s="14"/>
      <c r="I150" s="15">
        <v>149</v>
      </c>
    </row>
    <row r="151" spans="1:11">
      <c r="A151" s="19" t="s">
        <v>351</v>
      </c>
      <c r="B151" s="39"/>
      <c r="C151" t="s">
        <v>1219</v>
      </c>
      <c r="D151" s="25" t="s">
        <v>531</v>
      </c>
      <c r="E151" s="25" t="s">
        <v>530</v>
      </c>
      <c r="F151" s="25" t="s">
        <v>532</v>
      </c>
      <c r="G151" t="s">
        <v>1219</v>
      </c>
      <c r="H151" s="4">
        <f>B151+1095</f>
        <v>1095</v>
      </c>
      <c r="I151">
        <v>150</v>
      </c>
    </row>
    <row r="152" spans="1:11">
      <c r="A152" s="19" t="s">
        <v>351</v>
      </c>
      <c r="C152" s="40" t="s">
        <v>1219</v>
      </c>
      <c r="D152" s="28" t="s">
        <v>534</v>
      </c>
      <c r="E152" s="27" t="s">
        <v>533</v>
      </c>
      <c r="F152" s="28" t="s">
        <v>535</v>
      </c>
      <c r="G152" s="40" t="s">
        <v>1219</v>
      </c>
      <c r="H152" s="13">
        <f>B150+1825</f>
        <v>47238</v>
      </c>
      <c r="I152" s="12">
        <v>151</v>
      </c>
    </row>
    <row r="153" spans="1:11">
      <c r="A153" s="19" t="s">
        <v>351</v>
      </c>
      <c r="B153" s="37"/>
      <c r="C153" s="40" t="s">
        <v>1219</v>
      </c>
      <c r="D153" s="29" t="s">
        <v>536</v>
      </c>
      <c r="E153" s="36" t="s">
        <v>1107</v>
      </c>
      <c r="F153" s="29" t="s">
        <v>537</v>
      </c>
      <c r="G153" s="40" t="s">
        <v>1219</v>
      </c>
      <c r="H153" s="14">
        <f>B153+1825</f>
        <v>1825</v>
      </c>
      <c r="I153" s="15">
        <v>152</v>
      </c>
    </row>
    <row r="154" spans="1:11">
      <c r="A154" s="18" t="s">
        <v>351</v>
      </c>
      <c r="B154" s="39"/>
      <c r="C154" s="40" t="s">
        <v>1219</v>
      </c>
      <c r="D154" s="25" t="s">
        <v>539</v>
      </c>
      <c r="E154" s="25" t="s">
        <v>538</v>
      </c>
      <c r="F154" s="25" t="s">
        <v>540</v>
      </c>
      <c r="G154" s="40" t="s">
        <v>1219</v>
      </c>
      <c r="H154" s="4">
        <f>B154+1825</f>
        <v>1825</v>
      </c>
      <c r="I154">
        <v>153</v>
      </c>
    </row>
    <row r="155" spans="1:11">
      <c r="A155" s="19" t="s">
        <v>351</v>
      </c>
      <c r="B155" s="38"/>
      <c r="C155" s="12" t="s">
        <v>1219</v>
      </c>
      <c r="D155" s="28" t="s">
        <v>542</v>
      </c>
      <c r="E155" s="27" t="s">
        <v>541</v>
      </c>
      <c r="F155" s="28" t="s">
        <v>543</v>
      </c>
      <c r="G155" s="12" t="s">
        <v>1219</v>
      </c>
      <c r="H155" s="13">
        <f t="shared" ref="H155:H173" si="7">B155+1095</f>
        <v>1095</v>
      </c>
      <c r="I155" s="12">
        <v>154</v>
      </c>
    </row>
    <row r="156" spans="1:11">
      <c r="A156" s="18" t="s">
        <v>351</v>
      </c>
      <c r="B156" s="37"/>
      <c r="C156" s="15" t="s">
        <v>1219</v>
      </c>
      <c r="D156" s="29" t="s">
        <v>544</v>
      </c>
      <c r="E156" s="36" t="s">
        <v>1108</v>
      </c>
      <c r="F156" s="29" t="s">
        <v>545</v>
      </c>
      <c r="G156" s="15" t="s">
        <v>1219</v>
      </c>
      <c r="H156" s="14">
        <f t="shared" si="7"/>
        <v>1095</v>
      </c>
      <c r="I156" s="15">
        <v>155</v>
      </c>
    </row>
    <row r="157" spans="1:11">
      <c r="A157" s="19" t="s">
        <v>351</v>
      </c>
      <c r="B157" s="39"/>
      <c r="C157" s="15" t="s">
        <v>1219</v>
      </c>
      <c r="D157" s="25" t="s">
        <v>547</v>
      </c>
      <c r="E157" s="25" t="s">
        <v>546</v>
      </c>
      <c r="F157" s="25" t="s">
        <v>548</v>
      </c>
      <c r="G157">
        <v>598</v>
      </c>
      <c r="H157" s="4">
        <f t="shared" si="7"/>
        <v>1095</v>
      </c>
      <c r="I157">
        <v>156</v>
      </c>
    </row>
    <row r="158" spans="1:11">
      <c r="A158" s="18" t="s">
        <v>351</v>
      </c>
      <c r="B158" s="38"/>
      <c r="D158" s="28" t="s">
        <v>550</v>
      </c>
      <c r="E158" s="27" t="s">
        <v>549</v>
      </c>
      <c r="F158" s="28" t="s">
        <v>550</v>
      </c>
      <c r="G158" s="12" t="s">
        <v>1219</v>
      </c>
      <c r="H158" s="13">
        <f t="shared" si="7"/>
        <v>1095</v>
      </c>
      <c r="I158" s="12">
        <v>157</v>
      </c>
    </row>
    <row r="159" spans="1:11">
      <c r="A159" s="19" t="s">
        <v>351</v>
      </c>
      <c r="B159" s="37"/>
      <c r="D159" s="29" t="s">
        <v>551</v>
      </c>
      <c r="E159" s="36" t="s">
        <v>1109</v>
      </c>
      <c r="F159" s="29" t="s">
        <v>551</v>
      </c>
      <c r="G159" s="15">
        <v>68.67</v>
      </c>
      <c r="H159" s="14">
        <f t="shared" si="7"/>
        <v>1095</v>
      </c>
      <c r="I159" s="15">
        <v>158</v>
      </c>
    </row>
    <row r="160" spans="1:11">
      <c r="A160" s="41" t="s">
        <v>10</v>
      </c>
      <c r="B160" s="41" t="s">
        <v>1392</v>
      </c>
      <c r="C160" s="41">
        <v>94.9</v>
      </c>
      <c r="D160" s="29" t="s">
        <v>671</v>
      </c>
      <c r="E160" s="36" t="s">
        <v>670</v>
      </c>
      <c r="F160" s="29" t="s">
        <v>671</v>
      </c>
      <c r="G160" s="15">
        <v>2340</v>
      </c>
      <c r="H160" s="14">
        <f t="shared" si="7"/>
        <v>46508</v>
      </c>
      <c r="I160" s="15">
        <v>159</v>
      </c>
    </row>
    <row r="161" spans="1:11">
      <c r="A161" s="41" t="s">
        <v>1223</v>
      </c>
      <c r="B161" s="41" t="s">
        <v>1385</v>
      </c>
      <c r="C161" s="43">
        <v>2850</v>
      </c>
      <c r="D161" s="25" t="s">
        <v>553</v>
      </c>
      <c r="E161" s="25" t="s">
        <v>552</v>
      </c>
      <c r="F161" s="25" t="s">
        <v>554</v>
      </c>
      <c r="G161">
        <v>269</v>
      </c>
      <c r="H161" s="4">
        <f t="shared" si="7"/>
        <v>46753</v>
      </c>
      <c r="I161">
        <v>160</v>
      </c>
    </row>
    <row r="162" spans="1:11">
      <c r="A162" s="41" t="s">
        <v>10</v>
      </c>
      <c r="B162" s="41"/>
      <c r="C162" s="48">
        <v>155</v>
      </c>
      <c r="D162" s="28" t="s">
        <v>556</v>
      </c>
      <c r="E162" s="27" t="s">
        <v>555</v>
      </c>
      <c r="F162" s="28" t="s">
        <v>557</v>
      </c>
      <c r="G162" s="12">
        <v>399</v>
      </c>
      <c r="H162" s="13">
        <f t="shared" si="7"/>
        <v>1095</v>
      </c>
      <c r="I162" s="12">
        <v>161</v>
      </c>
    </row>
    <row r="163" spans="1:11">
      <c r="A163" s="41" t="s">
        <v>10</v>
      </c>
      <c r="B163" s="41"/>
      <c r="C163" s="48">
        <v>239</v>
      </c>
      <c r="D163" s="29" t="s">
        <v>558</v>
      </c>
      <c r="E163" s="36" t="s">
        <v>1110</v>
      </c>
      <c r="F163" s="29" t="s">
        <v>559</v>
      </c>
      <c r="G163" s="15">
        <v>689</v>
      </c>
      <c r="H163" s="14">
        <f t="shared" si="7"/>
        <v>1095</v>
      </c>
      <c r="I163" s="15">
        <v>162</v>
      </c>
      <c r="J163" t="s">
        <v>560</v>
      </c>
    </row>
    <row r="164" spans="1:11">
      <c r="A164" s="41" t="s">
        <v>10</v>
      </c>
      <c r="B164" s="41"/>
      <c r="C164" s="41">
        <v>369</v>
      </c>
      <c r="D164" s="25" t="s">
        <v>562</v>
      </c>
      <c r="E164" s="25" t="s">
        <v>561</v>
      </c>
      <c r="F164" s="25" t="s">
        <v>563</v>
      </c>
      <c r="G164">
        <v>799</v>
      </c>
      <c r="H164" s="4">
        <f t="shared" si="7"/>
        <v>1095</v>
      </c>
      <c r="I164">
        <v>163</v>
      </c>
      <c r="K164" s="9" t="s">
        <v>325</v>
      </c>
    </row>
    <row r="165" spans="1:11">
      <c r="A165" s="19" t="s">
        <v>351</v>
      </c>
      <c r="B165" s="38">
        <v>45931</v>
      </c>
      <c r="D165" s="28" t="s">
        <v>569</v>
      </c>
      <c r="E165" s="27" t="s">
        <v>568</v>
      </c>
      <c r="F165" s="28" t="s">
        <v>570</v>
      </c>
      <c r="G165" s="12">
        <v>319</v>
      </c>
      <c r="H165" s="13">
        <f t="shared" si="7"/>
        <v>47026</v>
      </c>
      <c r="I165" s="12">
        <v>164</v>
      </c>
    </row>
    <row r="166" spans="1:11">
      <c r="A166" s="41" t="s">
        <v>1223</v>
      </c>
      <c r="B166" s="41"/>
      <c r="C166" s="48">
        <v>180</v>
      </c>
      <c r="D166" s="29" t="s">
        <v>572</v>
      </c>
      <c r="E166" s="36" t="s">
        <v>571</v>
      </c>
      <c r="F166" s="29" t="s">
        <v>573</v>
      </c>
      <c r="G166" s="15">
        <v>178</v>
      </c>
      <c r="H166" s="14">
        <f t="shared" si="7"/>
        <v>1095</v>
      </c>
      <c r="I166" s="15">
        <v>165</v>
      </c>
      <c r="K166" s="9" t="s">
        <v>330</v>
      </c>
    </row>
    <row r="167" spans="1:11">
      <c r="A167" s="41" t="s">
        <v>10</v>
      </c>
      <c r="B167" s="41" t="s">
        <v>1420</v>
      </c>
      <c r="C167" s="41">
        <v>268</v>
      </c>
      <c r="D167" s="25" t="s">
        <v>574</v>
      </c>
      <c r="E167" s="25" t="s">
        <v>1111</v>
      </c>
      <c r="F167" s="25" t="s">
        <v>575</v>
      </c>
      <c r="G167">
        <v>439</v>
      </c>
      <c r="H167" s="4">
        <f t="shared" si="7"/>
        <v>46631</v>
      </c>
      <c r="I167">
        <v>166</v>
      </c>
      <c r="K167" s="9" t="s">
        <v>330</v>
      </c>
    </row>
    <row r="168" spans="1:11">
      <c r="A168" s="41" t="s">
        <v>1223</v>
      </c>
      <c r="B168" s="41"/>
      <c r="C168" s="48">
        <v>530</v>
      </c>
      <c r="D168" s="29" t="s">
        <v>566</v>
      </c>
      <c r="E168" s="36" t="s">
        <v>565</v>
      </c>
      <c r="F168" s="29" t="s">
        <v>566</v>
      </c>
      <c r="G168" s="15">
        <v>108</v>
      </c>
      <c r="H168" s="14">
        <f t="shared" si="7"/>
        <v>1095</v>
      </c>
      <c r="I168" s="15">
        <v>167</v>
      </c>
    </row>
    <row r="169" spans="1:11">
      <c r="A169" s="41" t="s">
        <v>10</v>
      </c>
      <c r="B169" s="41" t="s">
        <v>1433</v>
      </c>
      <c r="C169" s="41">
        <v>288</v>
      </c>
      <c r="D169" s="28" t="s">
        <v>577</v>
      </c>
      <c r="E169" s="27" t="s">
        <v>576</v>
      </c>
      <c r="F169" s="28" t="s">
        <v>578</v>
      </c>
      <c r="G169" s="40">
        <v>444</v>
      </c>
      <c r="H169" s="13">
        <f t="shared" si="7"/>
        <v>46730</v>
      </c>
      <c r="I169" s="12">
        <v>168</v>
      </c>
    </row>
    <row r="170" spans="1:11">
      <c r="A170" s="41" t="s">
        <v>10</v>
      </c>
      <c r="B170" s="41"/>
      <c r="C170" s="41">
        <v>240</v>
      </c>
      <c r="D170" s="29" t="s">
        <v>580</v>
      </c>
      <c r="E170" s="36" t="s">
        <v>579</v>
      </c>
      <c r="F170" s="29" t="s">
        <v>581</v>
      </c>
      <c r="G170" s="40">
        <v>299</v>
      </c>
      <c r="H170" s="14">
        <f t="shared" si="7"/>
        <v>1095</v>
      </c>
      <c r="I170" s="15">
        <v>169</v>
      </c>
    </row>
    <row r="171" spans="1:11">
      <c r="A171" s="41" t="s">
        <v>10</v>
      </c>
      <c r="B171" s="41"/>
      <c r="C171" s="41">
        <v>187</v>
      </c>
      <c r="D171" s="28" t="s">
        <v>586</v>
      </c>
      <c r="E171" s="27" t="s">
        <v>585</v>
      </c>
      <c r="F171" s="28" t="s">
        <v>587</v>
      </c>
      <c r="G171" s="12">
        <v>351</v>
      </c>
      <c r="H171" s="13">
        <f t="shared" si="7"/>
        <v>1095</v>
      </c>
      <c r="I171" s="12">
        <v>170</v>
      </c>
    </row>
    <row r="172" spans="1:11">
      <c r="A172" s="41" t="s">
        <v>10</v>
      </c>
      <c r="B172" s="41"/>
      <c r="C172" s="41">
        <v>368</v>
      </c>
      <c r="D172" s="25" t="s">
        <v>590</v>
      </c>
      <c r="E172" s="25" t="s">
        <v>1112</v>
      </c>
      <c r="F172" s="25" t="s">
        <v>591</v>
      </c>
      <c r="G172">
        <v>350</v>
      </c>
      <c r="H172" s="4">
        <f t="shared" si="7"/>
        <v>1095</v>
      </c>
      <c r="I172">
        <v>171</v>
      </c>
      <c r="K172" s="9" t="s">
        <v>342</v>
      </c>
    </row>
    <row r="173" spans="1:11">
      <c r="A173" s="41" t="s">
        <v>10</v>
      </c>
      <c r="B173" s="41" t="s">
        <v>1385</v>
      </c>
      <c r="C173" s="41">
        <v>370</v>
      </c>
      <c r="D173" s="28" t="s">
        <v>593</v>
      </c>
      <c r="E173" s="27" t="s">
        <v>592</v>
      </c>
      <c r="F173" s="28" t="s">
        <v>594</v>
      </c>
      <c r="G173" s="12">
        <v>449</v>
      </c>
      <c r="H173" s="13">
        <f t="shared" si="7"/>
        <v>46753</v>
      </c>
      <c r="I173" s="12">
        <v>172</v>
      </c>
    </row>
    <row r="174" spans="1:11">
      <c r="A174" s="41" t="s">
        <v>10</v>
      </c>
      <c r="B174" s="41" t="s">
        <v>1433</v>
      </c>
      <c r="C174" s="41">
        <v>598</v>
      </c>
      <c r="D174" s="25" t="s">
        <v>596</v>
      </c>
      <c r="E174" s="25" t="s">
        <v>595</v>
      </c>
      <c r="F174" s="25" t="s">
        <v>597</v>
      </c>
      <c r="G174">
        <v>329</v>
      </c>
      <c r="H174" s="4">
        <f>B174+1825</f>
        <v>47460</v>
      </c>
      <c r="I174">
        <v>173</v>
      </c>
      <c r="K174" s="9" t="s">
        <v>345</v>
      </c>
    </row>
    <row r="175" spans="1:11">
      <c r="A175" s="41" t="s">
        <v>1223</v>
      </c>
      <c r="B175" s="41" t="s">
        <v>1422</v>
      </c>
      <c r="C175" s="48">
        <v>329.5</v>
      </c>
      <c r="D175" s="29" t="s">
        <v>601</v>
      </c>
      <c r="E175" s="36" t="s">
        <v>600</v>
      </c>
      <c r="F175" s="29" t="s">
        <v>601</v>
      </c>
      <c r="G175" s="15">
        <v>878</v>
      </c>
      <c r="H175" s="14">
        <f>B175+1095</f>
        <v>46843</v>
      </c>
      <c r="I175" s="15">
        <v>174</v>
      </c>
    </row>
    <row r="176" spans="1:11">
      <c r="A176" s="41" t="s">
        <v>1223</v>
      </c>
      <c r="B176" s="41"/>
      <c r="C176" s="48">
        <v>1060</v>
      </c>
      <c r="D176" s="28" t="s">
        <v>607</v>
      </c>
      <c r="E176" s="27" t="s">
        <v>1237</v>
      </c>
      <c r="F176" s="28" t="s">
        <v>607</v>
      </c>
      <c r="G176" s="12">
        <v>255</v>
      </c>
      <c r="H176" s="13">
        <f>B176+1095</f>
        <v>1095</v>
      </c>
      <c r="I176" s="12">
        <v>175</v>
      </c>
    </row>
    <row r="177" spans="1:11">
      <c r="A177" s="41" t="s">
        <v>1223</v>
      </c>
      <c r="B177" s="41"/>
      <c r="C177" s="48">
        <v>328</v>
      </c>
      <c r="D177" s="29" t="s">
        <v>609</v>
      </c>
      <c r="E177" s="36" t="s">
        <v>608</v>
      </c>
      <c r="F177" s="29" t="s">
        <v>610</v>
      </c>
      <c r="G177" s="15">
        <v>338</v>
      </c>
      <c r="H177" s="14">
        <f>B177+1095</f>
        <v>1095</v>
      </c>
      <c r="I177" s="15">
        <v>176</v>
      </c>
    </row>
    <row r="178" spans="1:11">
      <c r="A178" s="41" t="s">
        <v>10</v>
      </c>
      <c r="B178" s="41"/>
      <c r="C178" s="41">
        <v>338</v>
      </c>
      <c r="D178" s="28" t="s">
        <v>614</v>
      </c>
      <c r="E178" s="27" t="s">
        <v>1113</v>
      </c>
      <c r="F178" s="28" t="s">
        <v>615</v>
      </c>
      <c r="G178" s="12">
        <v>129</v>
      </c>
      <c r="H178" s="13">
        <f>B178+1095</f>
        <v>1095</v>
      </c>
      <c r="I178" s="12">
        <v>177</v>
      </c>
      <c r="K178" s="9" t="s">
        <v>42</v>
      </c>
    </row>
    <row r="179" spans="1:11">
      <c r="A179" s="41" t="s">
        <v>10</v>
      </c>
      <c r="B179" s="41" t="s">
        <v>1434</v>
      </c>
      <c r="C179" s="41">
        <v>179</v>
      </c>
      <c r="D179" s="28" t="s">
        <v>619</v>
      </c>
      <c r="E179" s="27" t="s">
        <v>618</v>
      </c>
      <c r="F179" s="28" t="s">
        <v>620</v>
      </c>
      <c r="G179" s="40">
        <v>469</v>
      </c>
      <c r="H179" s="13">
        <f>B179+1895</f>
        <v>46880</v>
      </c>
      <c r="I179" s="12">
        <v>178</v>
      </c>
      <c r="K179" s="9" t="s">
        <v>330</v>
      </c>
    </row>
    <row r="180" spans="1:11">
      <c r="A180" s="41" t="s">
        <v>10</v>
      </c>
      <c r="B180" s="41" t="s">
        <v>1435</v>
      </c>
      <c r="C180" s="41">
        <v>499</v>
      </c>
      <c r="D180" s="25" t="s">
        <v>621</v>
      </c>
      <c r="E180" s="25" t="s">
        <v>1114</v>
      </c>
      <c r="F180" s="25" t="s">
        <v>622</v>
      </c>
      <c r="G180" s="40">
        <v>499</v>
      </c>
      <c r="H180" s="4">
        <f>B180+1825</f>
        <v>46538</v>
      </c>
      <c r="I180">
        <v>179</v>
      </c>
    </row>
    <row r="181" spans="1:11">
      <c r="A181" s="41" t="s">
        <v>10</v>
      </c>
      <c r="B181" s="41" t="s">
        <v>1436</v>
      </c>
      <c r="C181" s="41">
        <v>499</v>
      </c>
      <c r="D181" s="28" t="s">
        <v>647</v>
      </c>
      <c r="E181" s="27" t="s">
        <v>646</v>
      </c>
      <c r="F181" s="28" t="s">
        <v>648</v>
      </c>
      <c r="G181" s="12">
        <v>94.9</v>
      </c>
      <c r="H181" s="13">
        <f>B181+1095</f>
        <v>46838</v>
      </c>
      <c r="I181" s="12">
        <v>180</v>
      </c>
    </row>
    <row r="182" spans="1:11">
      <c r="A182" s="41" t="s">
        <v>10</v>
      </c>
      <c r="B182" s="41" t="s">
        <v>1404</v>
      </c>
      <c r="C182" s="41">
        <v>94.9</v>
      </c>
      <c r="D182" s="25" t="s">
        <v>649</v>
      </c>
      <c r="E182" s="25" t="s">
        <v>1115</v>
      </c>
      <c r="F182" s="25" t="s">
        <v>650</v>
      </c>
      <c r="G182">
        <v>599</v>
      </c>
      <c r="H182" s="4">
        <f>B182+1095</f>
        <v>46539</v>
      </c>
      <c r="I182">
        <v>181</v>
      </c>
    </row>
    <row r="183" spans="1:11">
      <c r="A183" s="41" t="s">
        <v>1223</v>
      </c>
      <c r="B183" s="41" t="s">
        <v>1385</v>
      </c>
      <c r="C183" s="48">
        <v>599</v>
      </c>
      <c r="D183" s="28" t="s">
        <v>652</v>
      </c>
      <c r="E183" s="27" t="s">
        <v>651</v>
      </c>
      <c r="F183" s="28" t="s">
        <v>653</v>
      </c>
      <c r="G183" s="12">
        <v>535</v>
      </c>
      <c r="H183" s="13">
        <f>B183+1825</f>
        <v>47483</v>
      </c>
      <c r="I183" s="12">
        <v>182</v>
      </c>
      <c r="K183" s="9" t="s">
        <v>42</v>
      </c>
    </row>
    <row r="184" spans="1:11">
      <c r="A184" s="41" t="s">
        <v>10</v>
      </c>
      <c r="B184" s="41" t="s">
        <v>1437</v>
      </c>
      <c r="C184" s="41">
        <v>799</v>
      </c>
      <c r="D184" s="29" t="s">
        <v>655</v>
      </c>
      <c r="E184" s="36" t="s">
        <v>654</v>
      </c>
      <c r="F184" s="29" t="s">
        <v>656</v>
      </c>
      <c r="G184" s="15">
        <v>579</v>
      </c>
      <c r="H184" s="14">
        <f>B184+1825</f>
        <v>47168</v>
      </c>
      <c r="I184" s="15">
        <v>183</v>
      </c>
    </row>
    <row r="185" spans="1:11">
      <c r="A185" s="19" t="s">
        <v>351</v>
      </c>
      <c r="B185" s="39">
        <v>45139</v>
      </c>
      <c r="D185" s="25" t="s">
        <v>657</v>
      </c>
      <c r="E185" s="25" t="s">
        <v>1116</v>
      </c>
      <c r="F185" s="25" t="s">
        <v>658</v>
      </c>
      <c r="G185">
        <v>251.44</v>
      </c>
      <c r="H185" s="4">
        <f>B185+1095</f>
        <v>46234</v>
      </c>
      <c r="I185">
        <v>184</v>
      </c>
    </row>
    <row r="186" spans="1:11">
      <c r="A186" s="41" t="s">
        <v>10</v>
      </c>
      <c r="B186" s="41" t="s">
        <v>1438</v>
      </c>
      <c r="C186" s="41">
        <v>285</v>
      </c>
      <c r="D186" s="28" t="s">
        <v>660</v>
      </c>
      <c r="E186" s="27" t="s">
        <v>659</v>
      </c>
      <c r="F186" s="28" t="s">
        <v>661</v>
      </c>
      <c r="G186" s="40">
        <v>253</v>
      </c>
      <c r="H186" s="13">
        <f>B186+1825</f>
        <v>47056</v>
      </c>
      <c r="I186" s="12">
        <v>185</v>
      </c>
    </row>
    <row r="187" spans="1:11">
      <c r="A187" s="41" t="s">
        <v>10</v>
      </c>
      <c r="B187" s="41" t="s">
        <v>1439</v>
      </c>
      <c r="C187" s="41">
        <v>253</v>
      </c>
      <c r="D187" s="29" t="s">
        <v>663</v>
      </c>
      <c r="E187" s="36" t="s">
        <v>662</v>
      </c>
      <c r="F187" s="29" t="s">
        <v>664</v>
      </c>
      <c r="G187" s="40">
        <v>251.44</v>
      </c>
      <c r="H187" s="14">
        <f>B187+1825</f>
        <v>46964</v>
      </c>
      <c r="I187" s="15">
        <v>186</v>
      </c>
    </row>
    <row r="188" spans="1:11">
      <c r="A188" s="41" t="s">
        <v>10</v>
      </c>
      <c r="B188" s="41" t="s">
        <v>1440</v>
      </c>
      <c r="C188" s="41">
        <v>275</v>
      </c>
      <c r="D188" s="25" t="s">
        <v>665</v>
      </c>
      <c r="E188" s="25" t="s">
        <v>1117</v>
      </c>
      <c r="F188" s="25" t="s">
        <v>666</v>
      </c>
      <c r="G188" s="40">
        <v>251.44</v>
      </c>
      <c r="H188" s="4">
        <f>B188+1825</f>
        <v>46783</v>
      </c>
      <c r="I188">
        <v>187</v>
      </c>
    </row>
    <row r="189" spans="1:11">
      <c r="A189" s="41" t="s">
        <v>10</v>
      </c>
      <c r="B189" s="41"/>
      <c r="C189" s="41">
        <v>233</v>
      </c>
      <c r="D189" s="28" t="s">
        <v>668</v>
      </c>
      <c r="E189" s="27" t="s">
        <v>667</v>
      </c>
      <c r="F189" s="28" t="s">
        <v>669</v>
      </c>
      <c r="G189" s="12">
        <v>19.600000000000001</v>
      </c>
      <c r="H189" s="13">
        <f>B189+1095</f>
        <v>1095</v>
      </c>
      <c r="I189" s="12">
        <v>188</v>
      </c>
      <c r="K189" s="9" t="s">
        <v>330</v>
      </c>
    </row>
    <row r="190" spans="1:11">
      <c r="A190" s="18" t="s">
        <v>351</v>
      </c>
      <c r="B190" s="39">
        <v>45870</v>
      </c>
      <c r="D190" s="25" t="s">
        <v>679</v>
      </c>
      <c r="E190" s="25" t="s">
        <v>1118</v>
      </c>
      <c r="F190" s="25" t="s">
        <v>680</v>
      </c>
      <c r="G190">
        <v>155</v>
      </c>
      <c r="H190" s="4">
        <f>B190+1095</f>
        <v>46965</v>
      </c>
      <c r="I190">
        <v>189</v>
      </c>
    </row>
    <row r="191" spans="1:11">
      <c r="A191" s="41" t="s">
        <v>1223</v>
      </c>
      <c r="B191" s="41" t="s">
        <v>1426</v>
      </c>
      <c r="C191" s="48">
        <v>155</v>
      </c>
      <c r="D191" s="28" t="s">
        <v>682</v>
      </c>
      <c r="E191" s="27" t="s">
        <v>681</v>
      </c>
      <c r="F191" s="28" t="s">
        <v>683</v>
      </c>
      <c r="G191" s="12">
        <v>170</v>
      </c>
      <c r="H191" s="13">
        <f>B191+1095</f>
        <v>46965</v>
      </c>
      <c r="I191" s="12">
        <v>190</v>
      </c>
    </row>
    <row r="192" spans="1:11">
      <c r="A192" s="18" t="s">
        <v>351</v>
      </c>
      <c r="B192" s="37">
        <v>45536</v>
      </c>
      <c r="D192" s="29" t="s">
        <v>685</v>
      </c>
      <c r="E192" s="36" t="s">
        <v>684</v>
      </c>
      <c r="F192" s="29" t="s">
        <v>686</v>
      </c>
      <c r="G192" s="15">
        <v>77.3</v>
      </c>
      <c r="H192" s="14">
        <f>B192+1000</f>
        <v>46536</v>
      </c>
      <c r="I192" s="15">
        <v>191</v>
      </c>
    </row>
    <row r="193" spans="1:11">
      <c r="A193" s="19" t="s">
        <v>351</v>
      </c>
      <c r="B193" s="38">
        <v>45536</v>
      </c>
      <c r="C193" s="43">
        <v>109</v>
      </c>
      <c r="D193" s="28" t="s">
        <v>706</v>
      </c>
      <c r="E193" s="27" t="s">
        <v>1119</v>
      </c>
      <c r="F193" s="28" t="s">
        <v>706</v>
      </c>
      <c r="G193" s="12">
        <v>80</v>
      </c>
      <c r="H193" s="13">
        <f>B193+912</f>
        <v>46448</v>
      </c>
      <c r="I193" s="12">
        <v>192</v>
      </c>
    </row>
    <row r="194" spans="1:11">
      <c r="A194" s="18" t="s">
        <v>351</v>
      </c>
      <c r="B194" s="37">
        <v>45231</v>
      </c>
      <c r="D194" s="29" t="s">
        <v>708</v>
      </c>
      <c r="E194" s="36" t="s">
        <v>707</v>
      </c>
      <c r="F194" s="29" t="s">
        <v>709</v>
      </c>
      <c r="G194" s="15">
        <v>204</v>
      </c>
      <c r="H194" s="14">
        <f>B194+1095</f>
        <v>46326</v>
      </c>
      <c r="I194" s="15">
        <v>193</v>
      </c>
    </row>
    <row r="195" spans="1:11">
      <c r="A195" s="19" t="s">
        <v>351</v>
      </c>
      <c r="B195" s="39">
        <v>45566</v>
      </c>
      <c r="D195" s="25" t="s">
        <v>711</v>
      </c>
      <c r="E195" s="25" t="s">
        <v>710</v>
      </c>
      <c r="F195" s="25" t="s">
        <v>1120</v>
      </c>
      <c r="G195">
        <v>185</v>
      </c>
      <c r="H195" s="4">
        <f>B195+1460</f>
        <v>47026</v>
      </c>
      <c r="I195">
        <v>194</v>
      </c>
      <c r="J195">
        <v>1390</v>
      </c>
    </row>
    <row r="196" spans="1:11">
      <c r="A196" s="18" t="s">
        <v>351</v>
      </c>
      <c r="B196" s="38">
        <v>45474</v>
      </c>
      <c r="D196" s="28" t="s">
        <v>714</v>
      </c>
      <c r="E196" s="27" t="s">
        <v>713</v>
      </c>
      <c r="F196" s="28" t="s">
        <v>714</v>
      </c>
      <c r="G196" s="12">
        <v>174</v>
      </c>
      <c r="H196" s="13">
        <f>B196+720</f>
        <v>46194</v>
      </c>
      <c r="I196" s="12">
        <v>195</v>
      </c>
    </row>
    <row r="197" spans="1:11">
      <c r="A197" s="19" t="s">
        <v>351</v>
      </c>
      <c r="B197" s="37">
        <v>45444</v>
      </c>
      <c r="D197" s="29" t="s">
        <v>720</v>
      </c>
      <c r="E197" s="36" t="s">
        <v>719</v>
      </c>
      <c r="F197" s="29" t="s">
        <v>720</v>
      </c>
      <c r="G197" s="15">
        <v>439</v>
      </c>
      <c r="H197" s="14">
        <f t="shared" ref="H197:H222" si="8">B197+1095</f>
        <v>46539</v>
      </c>
      <c r="I197" s="15">
        <v>196</v>
      </c>
    </row>
    <row r="198" spans="1:11">
      <c r="A198" s="18" t="s">
        <v>351</v>
      </c>
      <c r="B198" s="39">
        <v>45413</v>
      </c>
      <c r="D198" s="25" t="s">
        <v>723</v>
      </c>
      <c r="E198" s="25" t="s">
        <v>722</v>
      </c>
      <c r="F198" s="25" t="s">
        <v>724</v>
      </c>
      <c r="G198">
        <v>700</v>
      </c>
      <c r="H198" s="4">
        <f t="shared" si="8"/>
        <v>46508</v>
      </c>
      <c r="I198">
        <v>197</v>
      </c>
    </row>
    <row r="199" spans="1:11">
      <c r="A199" s="19" t="s">
        <v>351</v>
      </c>
      <c r="B199" s="38">
        <v>45505</v>
      </c>
      <c r="C199" s="43">
        <v>519</v>
      </c>
      <c r="D199" s="28" t="s">
        <v>726</v>
      </c>
      <c r="E199" s="27" t="s">
        <v>725</v>
      </c>
      <c r="F199" s="28" t="s">
        <v>727</v>
      </c>
      <c r="G199" s="12">
        <v>181.9</v>
      </c>
      <c r="H199" s="13">
        <f t="shared" si="8"/>
        <v>46600</v>
      </c>
      <c r="I199" s="12">
        <v>198</v>
      </c>
    </row>
    <row r="200" spans="1:11">
      <c r="A200" s="47" t="s">
        <v>51</v>
      </c>
      <c r="B200" s="49">
        <v>45444</v>
      </c>
      <c r="C200" s="41">
        <v>199</v>
      </c>
      <c r="D200" s="28" t="s">
        <v>728</v>
      </c>
      <c r="E200" s="27" t="s">
        <v>1121</v>
      </c>
      <c r="F200" s="28" t="s">
        <v>729</v>
      </c>
      <c r="G200" s="12">
        <v>268</v>
      </c>
      <c r="H200" s="13">
        <f t="shared" si="8"/>
        <v>46539</v>
      </c>
      <c r="I200" s="12">
        <v>199</v>
      </c>
    </row>
    <row r="201" spans="1:11">
      <c r="A201" s="18" t="s">
        <v>351</v>
      </c>
      <c r="B201" s="39">
        <v>45505</v>
      </c>
      <c r="D201" s="25" t="s">
        <v>735</v>
      </c>
      <c r="E201" s="25" t="s">
        <v>734</v>
      </c>
      <c r="F201" s="25" t="s">
        <v>736</v>
      </c>
      <c r="G201">
        <v>419</v>
      </c>
      <c r="H201" s="4">
        <f t="shared" si="8"/>
        <v>46600</v>
      </c>
      <c r="I201">
        <v>200</v>
      </c>
    </row>
    <row r="202" spans="1:11">
      <c r="A202" s="41" t="s">
        <v>10</v>
      </c>
      <c r="B202" s="41" t="s">
        <v>1420</v>
      </c>
      <c r="C202" s="41">
        <v>369</v>
      </c>
      <c r="D202" s="28" t="s">
        <v>741</v>
      </c>
      <c r="E202" s="27" t="s">
        <v>740</v>
      </c>
      <c r="F202" s="28" t="s">
        <v>742</v>
      </c>
      <c r="G202" s="40">
        <v>52</v>
      </c>
      <c r="H202" s="13">
        <f t="shared" si="8"/>
        <v>46631</v>
      </c>
      <c r="I202" s="12">
        <v>201</v>
      </c>
    </row>
    <row r="203" spans="1:11">
      <c r="A203" s="41" t="s">
        <v>10</v>
      </c>
      <c r="B203" s="41"/>
      <c r="C203" s="41">
        <v>62</v>
      </c>
      <c r="D203" s="25" t="s">
        <v>750</v>
      </c>
      <c r="E203" s="25" t="s">
        <v>749</v>
      </c>
      <c r="F203" s="25" t="s">
        <v>750</v>
      </c>
      <c r="G203">
        <v>1399</v>
      </c>
      <c r="H203" s="4">
        <f t="shared" si="8"/>
        <v>1095</v>
      </c>
      <c r="I203">
        <v>202</v>
      </c>
    </row>
    <row r="204" spans="1:11">
      <c r="A204" s="19" t="s">
        <v>351</v>
      </c>
      <c r="B204" s="38">
        <v>45505</v>
      </c>
      <c r="C204" s="43">
        <v>1038</v>
      </c>
      <c r="D204" s="29" t="s">
        <v>743</v>
      </c>
      <c r="E204" s="36" t="s">
        <v>1122</v>
      </c>
      <c r="F204" s="29" t="s">
        <v>743</v>
      </c>
      <c r="G204" s="40">
        <v>379</v>
      </c>
      <c r="H204" s="14">
        <f t="shared" si="8"/>
        <v>46600</v>
      </c>
      <c r="I204" s="15">
        <v>203</v>
      </c>
      <c r="J204" t="s">
        <v>755</v>
      </c>
    </row>
    <row r="205" spans="1:11">
      <c r="A205" s="41" t="s">
        <v>10</v>
      </c>
      <c r="B205" s="41" t="s">
        <v>1394</v>
      </c>
      <c r="C205" s="41">
        <v>379</v>
      </c>
      <c r="D205" s="29" t="s">
        <v>753</v>
      </c>
      <c r="E205" s="36" t="s">
        <v>1123</v>
      </c>
      <c r="F205" s="29" t="s">
        <v>754</v>
      </c>
      <c r="G205" s="15">
        <v>299</v>
      </c>
      <c r="H205" s="14">
        <f t="shared" si="8"/>
        <v>46784</v>
      </c>
      <c r="I205" s="15">
        <v>204</v>
      </c>
    </row>
    <row r="206" spans="1:11">
      <c r="A206" s="41" t="s">
        <v>10</v>
      </c>
      <c r="B206" s="41" t="s">
        <v>1441</v>
      </c>
      <c r="C206" s="41">
        <v>313</v>
      </c>
      <c r="D206" s="25" t="s">
        <v>758</v>
      </c>
      <c r="E206" s="25" t="s">
        <v>757</v>
      </c>
      <c r="F206" s="25" t="s">
        <v>758</v>
      </c>
      <c r="G206">
        <v>508</v>
      </c>
      <c r="H206" s="4">
        <f t="shared" si="8"/>
        <v>47014</v>
      </c>
      <c r="I206">
        <v>205</v>
      </c>
    </row>
    <row r="207" spans="1:11">
      <c r="A207" s="41" t="s">
        <v>1223</v>
      </c>
      <c r="B207" s="41" t="s">
        <v>1388</v>
      </c>
      <c r="C207" s="44" t="s">
        <v>1442</v>
      </c>
      <c r="D207" s="29" t="s">
        <v>763</v>
      </c>
      <c r="E207" s="36" t="s">
        <v>1124</v>
      </c>
      <c r="F207" s="29" t="s">
        <v>763</v>
      </c>
      <c r="G207" s="15">
        <v>300</v>
      </c>
      <c r="H207" s="14">
        <f t="shared" si="8"/>
        <v>46600</v>
      </c>
      <c r="I207" s="15">
        <v>206</v>
      </c>
    </row>
    <row r="208" spans="1:11">
      <c r="A208" s="19" t="s">
        <v>351</v>
      </c>
      <c r="B208" s="39">
        <v>45566</v>
      </c>
      <c r="D208" s="25" t="s">
        <v>765</v>
      </c>
      <c r="E208" s="25" t="s">
        <v>764</v>
      </c>
      <c r="F208" s="25" t="s">
        <v>766</v>
      </c>
      <c r="G208">
        <v>88.9</v>
      </c>
      <c r="H208" s="4">
        <f t="shared" si="8"/>
        <v>46661</v>
      </c>
      <c r="I208">
        <v>207</v>
      </c>
      <c r="J208" t="s">
        <v>788</v>
      </c>
      <c r="K208" s="9" t="s">
        <v>330</v>
      </c>
    </row>
    <row r="209" spans="1:11">
      <c r="A209" s="18" t="s">
        <v>351</v>
      </c>
      <c r="B209" s="38">
        <v>45931</v>
      </c>
      <c r="D209" s="28" t="s">
        <v>787</v>
      </c>
      <c r="E209" s="27" t="s">
        <v>786</v>
      </c>
      <c r="F209" s="28" t="s">
        <v>787</v>
      </c>
      <c r="G209" s="12">
        <v>399</v>
      </c>
      <c r="H209" s="13">
        <f t="shared" si="8"/>
        <v>47026</v>
      </c>
      <c r="I209" s="12">
        <v>208</v>
      </c>
      <c r="J209" t="s">
        <v>790</v>
      </c>
    </row>
    <row r="210" spans="1:11">
      <c r="A210" s="18" t="s">
        <v>351</v>
      </c>
      <c r="B210" s="39">
        <v>45444</v>
      </c>
      <c r="D210" s="25" t="s">
        <v>792</v>
      </c>
      <c r="E210" s="25" t="s">
        <v>791</v>
      </c>
      <c r="F210" s="25" t="s">
        <v>793</v>
      </c>
      <c r="G210">
        <v>139</v>
      </c>
      <c r="H210" s="4">
        <f t="shared" si="8"/>
        <v>46539</v>
      </c>
      <c r="I210">
        <v>209</v>
      </c>
    </row>
    <row r="211" spans="1:11">
      <c r="A211" s="19" t="s">
        <v>351</v>
      </c>
      <c r="B211" s="38">
        <v>45839</v>
      </c>
      <c r="D211" s="28" t="s">
        <v>795</v>
      </c>
      <c r="E211" s="27" t="s">
        <v>794</v>
      </c>
      <c r="F211" s="28" t="s">
        <v>796</v>
      </c>
      <c r="G211" s="12">
        <v>166</v>
      </c>
      <c r="H211" s="13">
        <f t="shared" si="8"/>
        <v>46934</v>
      </c>
      <c r="I211" s="12">
        <v>210</v>
      </c>
    </row>
    <row r="212" spans="1:11">
      <c r="A212" s="18" t="s">
        <v>351</v>
      </c>
      <c r="B212" s="37">
        <v>45658</v>
      </c>
      <c r="D212" s="29" t="s">
        <v>797</v>
      </c>
      <c r="E212" s="36" t="s">
        <v>1125</v>
      </c>
      <c r="F212" s="29" t="s">
        <v>798</v>
      </c>
      <c r="G212" s="15">
        <v>111</v>
      </c>
      <c r="H212" s="14">
        <f t="shared" si="8"/>
        <v>46753</v>
      </c>
      <c r="I212" s="15">
        <v>211</v>
      </c>
      <c r="K212" s="9" t="s">
        <v>405</v>
      </c>
    </row>
    <row r="213" spans="1:11">
      <c r="A213" s="19" t="s">
        <v>351</v>
      </c>
      <c r="B213" s="39">
        <v>45444</v>
      </c>
      <c r="D213" s="25" t="s">
        <v>800</v>
      </c>
      <c r="E213" s="25" t="s">
        <v>799</v>
      </c>
      <c r="F213" s="25" t="s">
        <v>801</v>
      </c>
      <c r="G213">
        <v>159</v>
      </c>
      <c r="H213" s="4">
        <f t="shared" si="8"/>
        <v>46539</v>
      </c>
      <c r="I213">
        <v>212</v>
      </c>
    </row>
    <row r="214" spans="1:11">
      <c r="A214" s="19" t="s">
        <v>351</v>
      </c>
      <c r="B214" s="37">
        <v>45870</v>
      </c>
      <c r="D214" s="29" t="s">
        <v>804</v>
      </c>
      <c r="E214" s="36" t="s">
        <v>1126</v>
      </c>
      <c r="F214" s="29" t="s">
        <v>804</v>
      </c>
      <c r="G214" s="15">
        <v>51.2</v>
      </c>
      <c r="H214" s="14">
        <f t="shared" si="8"/>
        <v>46965</v>
      </c>
      <c r="I214" s="15">
        <v>213</v>
      </c>
    </row>
    <row r="215" spans="1:11">
      <c r="A215" s="18" t="s">
        <v>351</v>
      </c>
      <c r="B215" s="39">
        <v>45323</v>
      </c>
      <c r="D215" s="25" t="s">
        <v>806</v>
      </c>
      <c r="E215" s="25" t="s">
        <v>805</v>
      </c>
      <c r="F215" s="25" t="s">
        <v>806</v>
      </c>
      <c r="G215">
        <v>78.900000000000006</v>
      </c>
      <c r="H215" s="4">
        <f t="shared" si="8"/>
        <v>46418</v>
      </c>
      <c r="I215">
        <v>214</v>
      </c>
    </row>
    <row r="216" spans="1:11">
      <c r="A216" s="19" t="s">
        <v>351</v>
      </c>
      <c r="B216" s="38">
        <v>45536</v>
      </c>
      <c r="D216" s="28" t="s">
        <v>807</v>
      </c>
      <c r="E216" s="27" t="s">
        <v>1127</v>
      </c>
      <c r="F216" s="28" t="s">
        <v>808</v>
      </c>
      <c r="G216" s="12">
        <v>109.5</v>
      </c>
      <c r="H216" s="13">
        <f t="shared" si="8"/>
        <v>46631</v>
      </c>
      <c r="I216" s="12">
        <v>215</v>
      </c>
      <c r="J216" t="s">
        <v>775</v>
      </c>
    </row>
    <row r="217" spans="1:11">
      <c r="A217" s="18" t="s">
        <v>351</v>
      </c>
      <c r="B217" s="37">
        <v>45444</v>
      </c>
      <c r="D217" s="29" t="s">
        <v>809</v>
      </c>
      <c r="E217" s="36" t="s">
        <v>1128</v>
      </c>
      <c r="F217" s="29" t="s">
        <v>810</v>
      </c>
      <c r="G217" s="15">
        <v>159</v>
      </c>
      <c r="H217" s="14">
        <f t="shared" si="8"/>
        <v>46539</v>
      </c>
      <c r="I217" s="15">
        <v>216</v>
      </c>
    </row>
    <row r="218" spans="1:11">
      <c r="A218" s="19" t="s">
        <v>351</v>
      </c>
      <c r="B218" s="39"/>
      <c r="D218" s="25" t="s">
        <v>812</v>
      </c>
      <c r="E218" s="25" t="s">
        <v>811</v>
      </c>
      <c r="F218" s="25" t="s">
        <v>813</v>
      </c>
      <c r="G218">
        <v>149.4</v>
      </c>
      <c r="H218" s="4">
        <f t="shared" si="8"/>
        <v>1095</v>
      </c>
      <c r="I218">
        <v>217</v>
      </c>
    </row>
    <row r="219" spans="1:11">
      <c r="A219" s="18" t="s">
        <v>351</v>
      </c>
      <c r="B219" s="38">
        <v>45809</v>
      </c>
      <c r="D219" s="28" t="s">
        <v>815</v>
      </c>
      <c r="E219" s="27" t="s">
        <v>814</v>
      </c>
      <c r="F219" s="28" t="s">
        <v>815</v>
      </c>
      <c r="G219" s="40">
        <v>208.8</v>
      </c>
      <c r="H219" s="13">
        <f t="shared" si="8"/>
        <v>46904</v>
      </c>
      <c r="I219" s="12">
        <v>218</v>
      </c>
    </row>
    <row r="220" spans="1:11">
      <c r="A220" s="19" t="s">
        <v>351</v>
      </c>
      <c r="B220" s="37">
        <v>45809</v>
      </c>
      <c r="D220" s="29" t="s">
        <v>816</v>
      </c>
      <c r="E220" s="36" t="s">
        <v>1129</v>
      </c>
      <c r="F220" s="29" t="s">
        <v>817</v>
      </c>
      <c r="G220" s="40">
        <v>209</v>
      </c>
      <c r="H220" s="14">
        <f t="shared" si="8"/>
        <v>46904</v>
      </c>
      <c r="I220" s="15">
        <v>219</v>
      </c>
    </row>
    <row r="221" spans="1:11">
      <c r="A221" s="18" t="s">
        <v>351</v>
      </c>
      <c r="B221" s="39">
        <v>45170</v>
      </c>
      <c r="D221" s="25" t="s">
        <v>819</v>
      </c>
      <c r="E221" s="25" t="s">
        <v>818</v>
      </c>
      <c r="F221" s="25" t="s">
        <v>820</v>
      </c>
      <c r="G221" s="40">
        <v>268</v>
      </c>
      <c r="H221" s="4">
        <f t="shared" si="8"/>
        <v>46265</v>
      </c>
      <c r="I221">
        <v>220</v>
      </c>
    </row>
    <row r="222" spans="1:11">
      <c r="A222" s="19" t="s">
        <v>351</v>
      </c>
      <c r="B222" s="38"/>
      <c r="D222" s="28" t="s">
        <v>822</v>
      </c>
      <c r="E222" s="27" t="s">
        <v>821</v>
      </c>
      <c r="F222" s="28" t="s">
        <v>823</v>
      </c>
      <c r="G222" s="12" t="s">
        <v>1219</v>
      </c>
      <c r="H222" s="13">
        <f t="shared" si="8"/>
        <v>1095</v>
      </c>
      <c r="I222" s="12">
        <v>221</v>
      </c>
    </row>
    <row r="223" spans="1:11">
      <c r="A223" s="19" t="s">
        <v>351</v>
      </c>
      <c r="B223" s="39">
        <v>45413</v>
      </c>
      <c r="D223" s="25" t="s">
        <v>1131</v>
      </c>
      <c r="E223" s="25" t="s">
        <v>1130</v>
      </c>
      <c r="F223" s="25" t="s">
        <v>1132</v>
      </c>
      <c r="G223">
        <v>185</v>
      </c>
      <c r="H223" s="4">
        <f>B223+1094</f>
        <v>46507</v>
      </c>
      <c r="I223">
        <v>222</v>
      </c>
    </row>
    <row r="224" spans="1:11">
      <c r="A224" s="18" t="s">
        <v>351</v>
      </c>
      <c r="B224" s="37">
        <v>45627</v>
      </c>
      <c r="D224" s="29" t="s">
        <v>824</v>
      </c>
      <c r="E224" s="36" t="s">
        <v>825</v>
      </c>
      <c r="F224" s="29" t="s">
        <v>1133</v>
      </c>
      <c r="G224" s="15">
        <v>619</v>
      </c>
      <c r="H224" s="14">
        <f>B224+1094</f>
        <v>46721</v>
      </c>
      <c r="I224" s="15">
        <v>223</v>
      </c>
    </row>
    <row r="225" spans="1:11">
      <c r="A225" s="18" t="s">
        <v>351</v>
      </c>
      <c r="B225" s="38">
        <v>45809</v>
      </c>
      <c r="D225" s="28" t="s">
        <v>827</v>
      </c>
      <c r="E225" s="27" t="s">
        <v>826</v>
      </c>
      <c r="F225" s="28" t="s">
        <v>828</v>
      </c>
      <c r="G225" s="12">
        <v>319</v>
      </c>
      <c r="H225" s="13">
        <f>B225+1825</f>
        <v>47634</v>
      </c>
      <c r="I225" s="12">
        <v>224</v>
      </c>
    </row>
    <row r="226" spans="1:11">
      <c r="A226" s="19" t="s">
        <v>351</v>
      </c>
      <c r="B226" s="37">
        <v>45689</v>
      </c>
      <c r="D226" s="29" t="s">
        <v>829</v>
      </c>
      <c r="E226" s="36" t="s">
        <v>1134</v>
      </c>
      <c r="F226" s="29" t="s">
        <v>829</v>
      </c>
      <c r="G226" s="15">
        <v>289</v>
      </c>
      <c r="H226" s="14">
        <f>B226+1825</f>
        <v>47514</v>
      </c>
      <c r="I226" s="15">
        <v>225</v>
      </c>
    </row>
    <row r="227" spans="1:11">
      <c r="A227" s="18" t="s">
        <v>351</v>
      </c>
      <c r="B227" s="38"/>
      <c r="D227" s="28" t="s">
        <v>233</v>
      </c>
      <c r="E227" s="27" t="s">
        <v>1135</v>
      </c>
      <c r="F227" s="28" t="s">
        <v>234</v>
      </c>
      <c r="G227" s="40">
        <v>226</v>
      </c>
      <c r="H227" s="13">
        <f>B227+1095</f>
        <v>1095</v>
      </c>
      <c r="I227" s="12">
        <v>226</v>
      </c>
    </row>
    <row r="228" spans="1:11">
      <c r="A228" s="18" t="s">
        <v>351</v>
      </c>
      <c r="B228" s="38">
        <v>44986</v>
      </c>
      <c r="D228" s="28" t="s">
        <v>246</v>
      </c>
      <c r="E228" s="27" t="s">
        <v>1136</v>
      </c>
      <c r="F228" s="28" t="s">
        <v>247</v>
      </c>
      <c r="G228" s="12">
        <v>139</v>
      </c>
      <c r="H228" s="13">
        <f>B228+1095</f>
        <v>46081</v>
      </c>
      <c r="I228" s="12">
        <v>227</v>
      </c>
    </row>
    <row r="229" spans="1:11">
      <c r="A229" s="19" t="s">
        <v>351</v>
      </c>
      <c r="B229" s="39">
        <v>45658</v>
      </c>
      <c r="D229" s="25" t="s">
        <v>244</v>
      </c>
      <c r="E229" s="25" t="s">
        <v>243</v>
      </c>
      <c r="F229" s="25" t="s">
        <v>245</v>
      </c>
      <c r="G229">
        <v>289</v>
      </c>
      <c r="H229" s="4">
        <f>B229+1095</f>
        <v>46753</v>
      </c>
      <c r="I229">
        <v>228</v>
      </c>
    </row>
    <row r="230" spans="1:11">
      <c r="A230" s="19" t="s">
        <v>351</v>
      </c>
      <c r="B230" s="38">
        <v>45383</v>
      </c>
      <c r="D230" s="28" t="s">
        <v>226</v>
      </c>
      <c r="E230" s="27" t="s">
        <v>1137</v>
      </c>
      <c r="F230" s="28" t="s">
        <v>227</v>
      </c>
      <c r="G230" s="12">
        <v>90</v>
      </c>
      <c r="H230" s="13">
        <f>B230+1825</f>
        <v>47208</v>
      </c>
      <c r="I230" s="12">
        <v>229</v>
      </c>
      <c r="J230" t="s">
        <v>228</v>
      </c>
      <c r="K230" s="9" t="s">
        <v>451</v>
      </c>
    </row>
    <row r="231" spans="1:11">
      <c r="A231" s="18" t="s">
        <v>351</v>
      </c>
      <c r="B231" s="37">
        <v>45658</v>
      </c>
      <c r="D231" s="29" t="s">
        <v>242</v>
      </c>
      <c r="E231" s="36" t="s">
        <v>1138</v>
      </c>
      <c r="F231" s="29" t="s">
        <v>242</v>
      </c>
      <c r="G231" s="15">
        <v>260</v>
      </c>
      <c r="H231" s="14">
        <f>B231+1095</f>
        <v>46753</v>
      </c>
      <c r="I231" s="15">
        <v>230</v>
      </c>
    </row>
    <row r="232" spans="1:11">
      <c r="A232" s="19" t="s">
        <v>351</v>
      </c>
      <c r="B232" s="38">
        <v>45658</v>
      </c>
      <c r="D232" s="28" t="s">
        <v>598</v>
      </c>
      <c r="E232" s="27" t="s">
        <v>1139</v>
      </c>
      <c r="F232" s="28" t="s">
        <v>599</v>
      </c>
      <c r="G232" s="12">
        <v>459</v>
      </c>
      <c r="H232" s="13">
        <f>B232+1095</f>
        <v>46753</v>
      </c>
      <c r="I232" s="12">
        <v>231</v>
      </c>
    </row>
    <row r="233" spans="1:11">
      <c r="A233" s="18" t="s">
        <v>351</v>
      </c>
      <c r="B233" s="39">
        <v>45901</v>
      </c>
      <c r="D233" s="25" t="s">
        <v>362</v>
      </c>
      <c r="E233" s="25" t="s">
        <v>1140</v>
      </c>
      <c r="F233" s="25" t="s">
        <v>362</v>
      </c>
      <c r="G233">
        <v>398</v>
      </c>
      <c r="H233" s="4">
        <f>B233+1825</f>
        <v>47726</v>
      </c>
      <c r="I233">
        <v>232</v>
      </c>
    </row>
    <row r="234" spans="1:11">
      <c r="A234" s="18" t="s">
        <v>351</v>
      </c>
      <c r="B234" s="37">
        <v>45566</v>
      </c>
      <c r="D234" s="29" t="s">
        <v>120</v>
      </c>
      <c r="E234" s="36" t="s">
        <v>1141</v>
      </c>
      <c r="F234" s="29" t="s">
        <v>121</v>
      </c>
      <c r="G234" s="15">
        <v>608</v>
      </c>
      <c r="H234" s="14">
        <f t="shared" ref="H234:H263" si="9">B234+1095</f>
        <v>46661</v>
      </c>
      <c r="I234" s="15">
        <v>233</v>
      </c>
    </row>
    <row r="235" spans="1:11">
      <c r="A235" s="18" t="s">
        <v>351</v>
      </c>
      <c r="B235" s="39">
        <v>45383</v>
      </c>
      <c r="D235" s="25" t="s">
        <v>55</v>
      </c>
      <c r="E235" s="25" t="s">
        <v>1142</v>
      </c>
      <c r="F235" s="25" t="s">
        <v>56</v>
      </c>
      <c r="G235" t="s">
        <v>1219</v>
      </c>
      <c r="H235" s="4">
        <f t="shared" si="9"/>
        <v>46478</v>
      </c>
      <c r="I235">
        <v>234</v>
      </c>
      <c r="K235" s="9" t="s">
        <v>460</v>
      </c>
    </row>
    <row r="236" spans="1:11">
      <c r="A236" s="18" t="s">
        <v>351</v>
      </c>
      <c r="B236" s="37"/>
      <c r="D236" s="29" t="s">
        <v>641</v>
      </c>
      <c r="E236" s="36" t="s">
        <v>1143</v>
      </c>
      <c r="F236" s="29" t="s">
        <v>642</v>
      </c>
      <c r="G236" s="15" t="s">
        <v>1219</v>
      </c>
      <c r="H236" s="14">
        <f t="shared" si="9"/>
        <v>1095</v>
      </c>
      <c r="I236" s="15">
        <v>235</v>
      </c>
    </row>
    <row r="237" spans="1:11">
      <c r="A237" s="19" t="s">
        <v>351</v>
      </c>
      <c r="B237" s="39"/>
      <c r="D237" s="25" t="s">
        <v>644</v>
      </c>
      <c r="E237" s="25" t="s">
        <v>643</v>
      </c>
      <c r="F237" s="25" t="s">
        <v>645</v>
      </c>
      <c r="G237" t="s">
        <v>1219</v>
      </c>
      <c r="H237" s="4">
        <f t="shared" si="9"/>
        <v>1095</v>
      </c>
      <c r="I237">
        <v>236</v>
      </c>
    </row>
    <row r="238" spans="1:11">
      <c r="A238" s="19" t="s">
        <v>351</v>
      </c>
      <c r="B238" s="38"/>
      <c r="D238" s="28" t="s">
        <v>639</v>
      </c>
      <c r="E238" s="27" t="s">
        <v>638</v>
      </c>
      <c r="F238" s="28" t="s">
        <v>640</v>
      </c>
      <c r="G238" s="12" t="s">
        <v>1219</v>
      </c>
      <c r="H238" s="13">
        <f t="shared" si="9"/>
        <v>1095</v>
      </c>
      <c r="I238" s="12">
        <v>237</v>
      </c>
    </row>
    <row r="239" spans="1:11">
      <c r="A239" s="19" t="s">
        <v>351</v>
      </c>
      <c r="B239" s="39"/>
      <c r="D239" s="25" t="s">
        <v>628</v>
      </c>
      <c r="E239" s="25" t="s">
        <v>1144</v>
      </c>
      <c r="F239" s="25" t="s">
        <v>629</v>
      </c>
      <c r="G239" t="s">
        <v>1219</v>
      </c>
      <c r="H239" s="4">
        <f t="shared" si="9"/>
        <v>1095</v>
      </c>
      <c r="I239">
        <v>238</v>
      </c>
    </row>
    <row r="240" spans="1:11">
      <c r="A240" s="18" t="s">
        <v>351</v>
      </c>
      <c r="B240" s="38"/>
      <c r="D240" s="28" t="s">
        <v>631</v>
      </c>
      <c r="E240" s="27" t="s">
        <v>630</v>
      </c>
      <c r="F240" s="28" t="s">
        <v>632</v>
      </c>
      <c r="G240" s="12" t="s">
        <v>1219</v>
      </c>
      <c r="H240" s="13">
        <f t="shared" si="9"/>
        <v>1095</v>
      </c>
      <c r="I240" s="12">
        <v>239</v>
      </c>
    </row>
    <row r="241" spans="1:11">
      <c r="A241" s="18" t="s">
        <v>351</v>
      </c>
      <c r="B241" s="39"/>
      <c r="D241" s="25" t="s">
        <v>636</v>
      </c>
      <c r="E241" s="25" t="s">
        <v>1145</v>
      </c>
      <c r="F241" s="25" t="s">
        <v>637</v>
      </c>
      <c r="G241" t="s">
        <v>1219</v>
      </c>
      <c r="H241" s="4">
        <f t="shared" si="9"/>
        <v>1095</v>
      </c>
      <c r="I241">
        <v>240</v>
      </c>
    </row>
    <row r="242" spans="1:11">
      <c r="A242" s="19" t="s">
        <v>351</v>
      </c>
      <c r="B242" s="37"/>
      <c r="D242" s="29" t="s">
        <v>634</v>
      </c>
      <c r="E242" s="36" t="s">
        <v>633</v>
      </c>
      <c r="F242" s="29" t="s">
        <v>635</v>
      </c>
      <c r="G242" s="15" t="s">
        <v>1219</v>
      </c>
      <c r="H242" s="14">
        <f t="shared" si="9"/>
        <v>1095</v>
      </c>
      <c r="I242" s="15">
        <v>241</v>
      </c>
    </row>
    <row r="243" spans="1:11">
      <c r="A243" s="18" t="s">
        <v>351</v>
      </c>
      <c r="B243" s="37">
        <v>45658</v>
      </c>
      <c r="D243" s="29" t="s">
        <v>626</v>
      </c>
      <c r="E243" s="36" t="s">
        <v>625</v>
      </c>
      <c r="F243" s="29" t="s">
        <v>627</v>
      </c>
      <c r="G243" s="15">
        <v>149</v>
      </c>
      <c r="H243" s="14">
        <f t="shared" si="9"/>
        <v>46753</v>
      </c>
      <c r="I243" s="15">
        <v>242</v>
      </c>
    </row>
    <row r="244" spans="1:11">
      <c r="A244" s="18" t="s">
        <v>351</v>
      </c>
      <c r="B244" s="38">
        <v>45658</v>
      </c>
      <c r="D244" s="28" t="s">
        <v>767</v>
      </c>
      <c r="E244" s="27" t="s">
        <v>1146</v>
      </c>
      <c r="F244" s="28" t="s">
        <v>768</v>
      </c>
      <c r="G244" s="12">
        <v>623</v>
      </c>
      <c r="H244" s="13">
        <f t="shared" si="9"/>
        <v>46753</v>
      </c>
      <c r="I244" s="12">
        <v>243</v>
      </c>
    </row>
    <row r="245" spans="1:11">
      <c r="A245" s="19" t="s">
        <v>351</v>
      </c>
      <c r="B245" s="37"/>
      <c r="D245" s="29" t="s">
        <v>125</v>
      </c>
      <c r="E245" s="36" t="s">
        <v>124</v>
      </c>
      <c r="F245" s="29" t="s">
        <v>125</v>
      </c>
      <c r="G245" s="15">
        <v>106.8</v>
      </c>
      <c r="H245" s="14">
        <f t="shared" si="9"/>
        <v>1095</v>
      </c>
      <c r="I245" s="15">
        <v>244</v>
      </c>
    </row>
    <row r="246" spans="1:11">
      <c r="A246" s="18" t="s">
        <v>351</v>
      </c>
      <c r="B246" s="38">
        <v>45717</v>
      </c>
      <c r="D246" s="28" t="s">
        <v>33</v>
      </c>
      <c r="E246" s="27" t="s">
        <v>32</v>
      </c>
      <c r="F246" s="28" t="s">
        <v>34</v>
      </c>
      <c r="G246" s="12">
        <v>103.99</v>
      </c>
      <c r="H246" s="13">
        <f t="shared" si="9"/>
        <v>46812</v>
      </c>
      <c r="I246" s="12">
        <v>245</v>
      </c>
      <c r="J246" s="12"/>
      <c r="K246" s="9" t="s">
        <v>485</v>
      </c>
    </row>
    <row r="247" spans="1:11">
      <c r="A247" s="19" t="s">
        <v>351</v>
      </c>
      <c r="B247" s="38">
        <v>45444</v>
      </c>
      <c r="D247" s="28" t="s">
        <v>746</v>
      </c>
      <c r="E247" s="27" t="s">
        <v>745</v>
      </c>
      <c r="F247" s="28" t="s">
        <v>747</v>
      </c>
      <c r="G247" s="12">
        <v>295</v>
      </c>
      <c r="H247" s="13">
        <f t="shared" si="9"/>
        <v>46539</v>
      </c>
      <c r="I247" s="12">
        <v>246</v>
      </c>
      <c r="K247" s="9" t="s">
        <v>490</v>
      </c>
    </row>
    <row r="248" spans="1:11">
      <c r="A248" s="19" t="s">
        <v>351</v>
      </c>
      <c r="B248" s="37">
        <v>45444</v>
      </c>
      <c r="D248" s="29" t="s">
        <v>779</v>
      </c>
      <c r="E248" s="36" t="s">
        <v>778</v>
      </c>
      <c r="F248" s="29" t="s">
        <v>780</v>
      </c>
      <c r="G248" s="40">
        <v>339</v>
      </c>
      <c r="H248" s="14">
        <f t="shared" si="9"/>
        <v>46539</v>
      </c>
      <c r="I248" s="15">
        <v>247</v>
      </c>
    </row>
    <row r="249" spans="1:11">
      <c r="A249" s="18" t="s">
        <v>351</v>
      </c>
      <c r="B249" s="37">
        <v>45689</v>
      </c>
      <c r="D249" s="29" t="s">
        <v>773</v>
      </c>
      <c r="E249" s="36" t="s">
        <v>772</v>
      </c>
      <c r="F249" s="29" t="s">
        <v>774</v>
      </c>
      <c r="G249" s="15">
        <v>359</v>
      </c>
      <c r="H249" s="14">
        <f t="shared" si="9"/>
        <v>46784</v>
      </c>
      <c r="I249" s="15">
        <v>248</v>
      </c>
    </row>
    <row r="250" spans="1:11">
      <c r="A250" s="18" t="s">
        <v>351</v>
      </c>
      <c r="B250" s="37">
        <v>45689</v>
      </c>
      <c r="D250" s="29" t="s">
        <v>784</v>
      </c>
      <c r="E250" s="36" t="s">
        <v>1147</v>
      </c>
      <c r="F250" s="29" t="s">
        <v>785</v>
      </c>
      <c r="G250" s="15">
        <v>109</v>
      </c>
      <c r="H250" s="14">
        <f t="shared" si="9"/>
        <v>46784</v>
      </c>
      <c r="I250" s="15">
        <v>249</v>
      </c>
      <c r="K250" s="9" t="s">
        <v>499</v>
      </c>
    </row>
    <row r="251" spans="1:11">
      <c r="A251" s="18" t="s">
        <v>351</v>
      </c>
      <c r="B251" s="39">
        <v>45566</v>
      </c>
      <c r="D251" s="25" t="s">
        <v>782</v>
      </c>
      <c r="E251" s="25" t="s">
        <v>781</v>
      </c>
      <c r="F251" s="25" t="s">
        <v>783</v>
      </c>
      <c r="G251" s="40">
        <v>229</v>
      </c>
      <c r="H251" s="4">
        <f t="shared" si="9"/>
        <v>46661</v>
      </c>
      <c r="I251">
        <v>250</v>
      </c>
      <c r="K251" s="9" t="s">
        <v>502</v>
      </c>
    </row>
    <row r="252" spans="1:11">
      <c r="A252" s="19" t="s">
        <v>351</v>
      </c>
      <c r="B252" s="39"/>
      <c r="D252" s="25" t="s">
        <v>776</v>
      </c>
      <c r="E252" s="25" t="s">
        <v>1148</v>
      </c>
      <c r="F252" s="25" t="s">
        <v>777</v>
      </c>
      <c r="G252">
        <v>258</v>
      </c>
      <c r="H252" s="4">
        <f t="shared" si="9"/>
        <v>1095</v>
      </c>
      <c r="I252">
        <v>251</v>
      </c>
    </row>
    <row r="253" spans="1:11">
      <c r="A253" s="18" t="s">
        <v>351</v>
      </c>
      <c r="B253" s="37">
        <v>45536</v>
      </c>
      <c r="D253" s="29" t="s">
        <v>332</v>
      </c>
      <c r="E253" s="36" t="s">
        <v>331</v>
      </c>
      <c r="F253" s="29" t="s">
        <v>333</v>
      </c>
      <c r="G253" s="15">
        <v>399</v>
      </c>
      <c r="H253" s="14">
        <f t="shared" si="9"/>
        <v>46631</v>
      </c>
      <c r="I253" s="15">
        <v>252</v>
      </c>
    </row>
    <row r="254" spans="1:11">
      <c r="A254" s="19" t="s">
        <v>351</v>
      </c>
      <c r="B254" s="38"/>
      <c r="D254" s="28" t="s">
        <v>328</v>
      </c>
      <c r="E254" s="27" t="s">
        <v>1149</v>
      </c>
      <c r="F254" s="28" t="s">
        <v>329</v>
      </c>
      <c r="G254" s="12">
        <v>674</v>
      </c>
      <c r="H254" s="13">
        <f t="shared" si="9"/>
        <v>1095</v>
      </c>
      <c r="I254" s="12">
        <v>253</v>
      </c>
    </row>
    <row r="255" spans="1:11">
      <c r="A255" s="19" t="s">
        <v>351</v>
      </c>
      <c r="B255" s="39">
        <v>44927</v>
      </c>
      <c r="D255" s="25" t="s">
        <v>334</v>
      </c>
      <c r="E255" s="25" t="s">
        <v>1150</v>
      </c>
      <c r="F255" s="25" t="s">
        <v>335</v>
      </c>
      <c r="G255">
        <v>206</v>
      </c>
      <c r="H255" s="4">
        <f t="shared" si="9"/>
        <v>46022</v>
      </c>
      <c r="I255">
        <v>254</v>
      </c>
    </row>
    <row r="256" spans="1:11">
      <c r="A256" s="18" t="s">
        <v>351</v>
      </c>
      <c r="B256" s="37">
        <v>45597</v>
      </c>
      <c r="D256" s="29" t="s">
        <v>275</v>
      </c>
      <c r="E256" s="36" t="s">
        <v>274</v>
      </c>
      <c r="F256" s="29" t="s">
        <v>276</v>
      </c>
      <c r="G256" s="15">
        <v>117</v>
      </c>
      <c r="H256" s="14">
        <f t="shared" si="9"/>
        <v>46692</v>
      </c>
      <c r="I256" s="15">
        <v>255</v>
      </c>
    </row>
    <row r="257" spans="1:10">
      <c r="A257" s="19" t="s">
        <v>351</v>
      </c>
      <c r="B257" s="38">
        <v>45352</v>
      </c>
      <c r="D257" s="28" t="s">
        <v>12</v>
      </c>
      <c r="E257" s="27" t="s">
        <v>11</v>
      </c>
      <c r="F257" s="28" t="s">
        <v>13</v>
      </c>
      <c r="G257" s="12">
        <v>299</v>
      </c>
      <c r="H257" s="13">
        <f t="shared" si="9"/>
        <v>46447</v>
      </c>
      <c r="I257" s="12">
        <v>256</v>
      </c>
      <c r="J257" s="12"/>
    </row>
    <row r="258" spans="1:10">
      <c r="A258" s="18" t="s">
        <v>351</v>
      </c>
      <c r="B258" s="37"/>
      <c r="D258" s="29" t="s">
        <v>15</v>
      </c>
      <c r="E258" s="36" t="s">
        <v>14</v>
      </c>
      <c r="F258" s="29" t="s">
        <v>16</v>
      </c>
      <c r="G258" s="15">
        <v>256</v>
      </c>
      <c r="H258" s="14">
        <f t="shared" si="9"/>
        <v>1095</v>
      </c>
      <c r="I258" s="15">
        <v>257</v>
      </c>
      <c r="J258" s="15"/>
    </row>
    <row r="259" spans="1:10">
      <c r="A259" s="18" t="s">
        <v>351</v>
      </c>
      <c r="B259" s="39"/>
      <c r="D259" s="25" t="s">
        <v>326</v>
      </c>
      <c r="E259" s="25" t="s">
        <v>1151</v>
      </c>
      <c r="F259" s="25" t="s">
        <v>327</v>
      </c>
      <c r="G259">
        <v>139</v>
      </c>
      <c r="H259" s="4">
        <f t="shared" si="9"/>
        <v>1095</v>
      </c>
      <c r="I259">
        <v>258</v>
      </c>
    </row>
    <row r="260" spans="1:10">
      <c r="A260" s="18" t="s">
        <v>351</v>
      </c>
      <c r="B260" s="38">
        <v>45383</v>
      </c>
      <c r="D260" s="28" t="s">
        <v>279</v>
      </c>
      <c r="E260" s="27" t="s">
        <v>1152</v>
      </c>
      <c r="F260" s="28" t="s">
        <v>280</v>
      </c>
      <c r="G260" s="12">
        <v>280</v>
      </c>
      <c r="H260" s="13">
        <f t="shared" si="9"/>
        <v>46478</v>
      </c>
      <c r="I260" s="12">
        <v>259</v>
      </c>
    </row>
    <row r="261" spans="1:10">
      <c r="A261" s="18" t="s">
        <v>351</v>
      </c>
      <c r="B261" s="37">
        <v>45658</v>
      </c>
      <c r="D261" s="29" t="s">
        <v>1154</v>
      </c>
      <c r="E261" s="36" t="s">
        <v>1153</v>
      </c>
      <c r="F261" s="29" t="s">
        <v>1154</v>
      </c>
      <c r="G261" s="15">
        <v>329</v>
      </c>
      <c r="H261" s="14">
        <f t="shared" si="9"/>
        <v>46753</v>
      </c>
      <c r="I261" s="15">
        <v>260</v>
      </c>
    </row>
    <row r="262" spans="1:10">
      <c r="A262" s="18" t="s">
        <v>351</v>
      </c>
      <c r="B262" s="39">
        <v>45748</v>
      </c>
      <c r="D262" s="25" t="s">
        <v>467</v>
      </c>
      <c r="E262" s="25" t="s">
        <v>466</v>
      </c>
      <c r="F262" s="25" t="s">
        <v>1238</v>
      </c>
      <c r="G262">
        <v>748</v>
      </c>
      <c r="H262" s="4">
        <f t="shared" si="9"/>
        <v>46843</v>
      </c>
      <c r="I262">
        <v>261</v>
      </c>
    </row>
    <row r="263" spans="1:10">
      <c r="A263" s="19" t="s">
        <v>351</v>
      </c>
      <c r="B263" s="37">
        <v>45717</v>
      </c>
      <c r="D263" s="29" t="s">
        <v>464</v>
      </c>
      <c r="E263" s="36" t="s">
        <v>1155</v>
      </c>
      <c r="F263" s="29" t="s">
        <v>465</v>
      </c>
      <c r="G263" s="15">
        <v>195</v>
      </c>
      <c r="H263" s="14">
        <f t="shared" si="9"/>
        <v>46812</v>
      </c>
      <c r="I263" s="15">
        <v>262</v>
      </c>
    </row>
    <row r="264" spans="1:10">
      <c r="A264" s="19" t="s">
        <v>351</v>
      </c>
      <c r="B264" s="39">
        <v>45505</v>
      </c>
      <c r="D264" s="25" t="s">
        <v>458</v>
      </c>
      <c r="E264" s="25" t="s">
        <v>457</v>
      </c>
      <c r="F264" s="25" t="s">
        <v>459</v>
      </c>
      <c r="G264">
        <v>299</v>
      </c>
      <c r="H264" s="4">
        <f>B264+1080</f>
        <v>46585</v>
      </c>
      <c r="I264">
        <v>263</v>
      </c>
    </row>
    <row r="265" spans="1:10">
      <c r="A265" s="18" t="s">
        <v>351</v>
      </c>
      <c r="B265" s="37"/>
      <c r="D265" s="29" t="s">
        <v>455</v>
      </c>
      <c r="E265" s="36" t="s">
        <v>1156</v>
      </c>
      <c r="F265" s="29" t="s">
        <v>456</v>
      </c>
      <c r="G265" s="15">
        <v>299</v>
      </c>
      <c r="H265" s="14">
        <f>B265+1095</f>
        <v>1095</v>
      </c>
      <c r="I265" s="15">
        <v>264</v>
      </c>
    </row>
    <row r="266" spans="1:10">
      <c r="A266" s="18" t="s">
        <v>351</v>
      </c>
      <c r="B266" s="38"/>
      <c r="D266" s="28" t="s">
        <v>462</v>
      </c>
      <c r="E266" s="27" t="s">
        <v>461</v>
      </c>
      <c r="F266" s="28" t="s">
        <v>463</v>
      </c>
      <c r="G266" s="12" t="s">
        <v>1219</v>
      </c>
      <c r="H266" s="13">
        <f>B266+1095</f>
        <v>1095</v>
      </c>
      <c r="I266" s="12">
        <v>265</v>
      </c>
    </row>
    <row r="267" spans="1:10">
      <c r="A267" s="19" t="s">
        <v>351</v>
      </c>
      <c r="B267" s="37">
        <v>45658</v>
      </c>
      <c r="D267" s="29" t="s">
        <v>677</v>
      </c>
      <c r="E267" s="36" t="s">
        <v>676</v>
      </c>
      <c r="F267" s="29" t="s">
        <v>678</v>
      </c>
      <c r="G267" s="15">
        <v>125</v>
      </c>
      <c r="H267" s="14">
        <f>B267+1095</f>
        <v>46753</v>
      </c>
      <c r="I267" s="15">
        <v>266</v>
      </c>
    </row>
    <row r="268" spans="1:10">
      <c r="A268" s="18" t="s">
        <v>351</v>
      </c>
      <c r="B268" s="38"/>
      <c r="D268" s="28" t="s">
        <v>675</v>
      </c>
      <c r="E268" s="27" t="s">
        <v>674</v>
      </c>
      <c r="F268" s="28" t="s">
        <v>675</v>
      </c>
      <c r="G268" s="12">
        <v>179</v>
      </c>
      <c r="H268" s="13">
        <f>B268+1095</f>
        <v>1095</v>
      </c>
      <c r="I268" s="12">
        <v>267</v>
      </c>
    </row>
    <row r="269" spans="1:10">
      <c r="A269" s="19" t="s">
        <v>351</v>
      </c>
      <c r="B269" s="39">
        <v>45658</v>
      </c>
      <c r="D269" s="25" t="s">
        <v>672</v>
      </c>
      <c r="E269" s="25" t="s">
        <v>1157</v>
      </c>
      <c r="F269" s="25" t="s">
        <v>672</v>
      </c>
      <c r="G269">
        <v>587</v>
      </c>
      <c r="H269" s="4">
        <f>B269+1080</f>
        <v>46738</v>
      </c>
      <c r="I269">
        <v>268</v>
      </c>
    </row>
    <row r="270" spans="1:10">
      <c r="A270" s="19" t="s">
        <v>351</v>
      </c>
      <c r="B270" s="39">
        <v>45870</v>
      </c>
      <c r="D270" s="25" t="s">
        <v>373</v>
      </c>
      <c r="E270" s="25" t="s">
        <v>372</v>
      </c>
      <c r="F270" s="25" t="s">
        <v>373</v>
      </c>
      <c r="G270">
        <v>289</v>
      </c>
      <c r="H270" s="4">
        <f>B270+1095</f>
        <v>46965</v>
      </c>
      <c r="I270">
        <v>269</v>
      </c>
    </row>
    <row r="271" spans="1:10">
      <c r="A271" s="19" t="s">
        <v>351</v>
      </c>
      <c r="B271" s="39">
        <v>45839</v>
      </c>
      <c r="D271" s="25" t="s">
        <v>31</v>
      </c>
      <c r="E271" s="25" t="s">
        <v>1158</v>
      </c>
      <c r="F271" s="25" t="s">
        <v>31</v>
      </c>
      <c r="G271">
        <v>299</v>
      </c>
      <c r="H271" s="4">
        <f>B271+1095</f>
        <v>46934</v>
      </c>
      <c r="I271">
        <v>270</v>
      </c>
    </row>
    <row r="272" spans="1:10">
      <c r="A272" s="19" t="s">
        <v>351</v>
      </c>
      <c r="B272" s="37">
        <v>45992</v>
      </c>
      <c r="D272" s="29" t="s">
        <v>23</v>
      </c>
      <c r="E272" s="36" t="s">
        <v>22</v>
      </c>
      <c r="F272" s="29" t="s">
        <v>23</v>
      </c>
      <c r="G272" s="15">
        <v>129</v>
      </c>
      <c r="H272" s="14">
        <f>B272+1095</f>
        <v>47087</v>
      </c>
      <c r="I272" s="15">
        <v>271</v>
      </c>
      <c r="J272" s="15"/>
    </row>
    <row r="273" spans="1:11">
      <c r="A273" s="18" t="s">
        <v>351</v>
      </c>
      <c r="B273" s="37">
        <v>45505</v>
      </c>
      <c r="D273" s="29" t="s">
        <v>35</v>
      </c>
      <c r="E273" s="36" t="s">
        <v>1159</v>
      </c>
      <c r="F273" s="29" t="s">
        <v>36</v>
      </c>
      <c r="G273" s="15">
        <v>179</v>
      </c>
      <c r="H273" s="14">
        <f>B273+1095</f>
        <v>46600</v>
      </c>
      <c r="I273" s="15">
        <v>272</v>
      </c>
      <c r="J273" s="15"/>
    </row>
    <row r="274" spans="1:11">
      <c r="A274" s="18" t="s">
        <v>351</v>
      </c>
      <c r="B274" s="38">
        <v>45474</v>
      </c>
      <c r="D274" s="28" t="s">
        <v>404</v>
      </c>
      <c r="E274" s="27" t="s">
        <v>403</v>
      </c>
      <c r="F274" s="28" t="s">
        <v>404</v>
      </c>
      <c r="G274" s="40">
        <v>208</v>
      </c>
      <c r="H274" s="13">
        <f>B274+1095</f>
        <v>46569</v>
      </c>
      <c r="I274" s="12">
        <v>273</v>
      </c>
    </row>
    <row r="275" spans="1:11">
      <c r="A275" s="18" t="s">
        <v>351</v>
      </c>
      <c r="B275" s="39">
        <v>45566</v>
      </c>
      <c r="D275" s="25" t="s">
        <v>693</v>
      </c>
      <c r="E275" s="25" t="s">
        <v>692</v>
      </c>
      <c r="F275" s="25" t="s">
        <v>693</v>
      </c>
      <c r="G275">
        <v>299</v>
      </c>
      <c r="H275" s="4">
        <f>B275+1825</f>
        <v>47391</v>
      </c>
      <c r="I275">
        <v>274</v>
      </c>
    </row>
    <row r="276" spans="1:11">
      <c r="A276" s="19" t="s">
        <v>351</v>
      </c>
      <c r="B276" s="38">
        <v>45474</v>
      </c>
      <c r="D276" s="28" t="s">
        <v>694</v>
      </c>
      <c r="E276" s="27" t="s">
        <v>1160</v>
      </c>
      <c r="F276" s="28" t="s">
        <v>694</v>
      </c>
      <c r="G276" s="12" t="s">
        <v>1219</v>
      </c>
      <c r="H276" s="13">
        <f>B276+1095</f>
        <v>46569</v>
      </c>
      <c r="I276" s="12">
        <v>275</v>
      </c>
      <c r="K276" s="9" t="s">
        <v>564</v>
      </c>
    </row>
    <row r="277" spans="1:11">
      <c r="A277" s="18" t="s">
        <v>351</v>
      </c>
      <c r="B277" s="37">
        <v>45748</v>
      </c>
      <c r="D277" s="29" t="s">
        <v>696</v>
      </c>
      <c r="E277" s="36" t="s">
        <v>695</v>
      </c>
      <c r="F277" s="29" t="s">
        <v>696</v>
      </c>
      <c r="G277" s="15">
        <v>475</v>
      </c>
      <c r="H277" s="14">
        <f>B277+1080</f>
        <v>46828</v>
      </c>
      <c r="I277" s="15">
        <v>276</v>
      </c>
    </row>
    <row r="278" spans="1:11">
      <c r="A278" s="18" t="s">
        <v>351</v>
      </c>
      <c r="B278" s="39">
        <v>45627</v>
      </c>
      <c r="D278" s="25" t="s">
        <v>583</v>
      </c>
      <c r="E278" s="25" t="s">
        <v>1161</v>
      </c>
      <c r="F278" s="25" t="s">
        <v>583</v>
      </c>
      <c r="G278" s="40">
        <v>600</v>
      </c>
      <c r="H278" s="4">
        <f t="shared" ref="H278:H286" si="10">B278+1095</f>
        <v>46722</v>
      </c>
      <c r="I278">
        <v>277</v>
      </c>
    </row>
    <row r="279" spans="1:11">
      <c r="A279" s="18" t="s">
        <v>351</v>
      </c>
      <c r="B279" s="38">
        <v>45566</v>
      </c>
      <c r="D279" s="28" t="s">
        <v>130</v>
      </c>
      <c r="E279" s="27" t="s">
        <v>1162</v>
      </c>
      <c r="F279" s="28" t="s">
        <v>130</v>
      </c>
      <c r="G279" s="12">
        <v>488</v>
      </c>
      <c r="H279" s="13">
        <f t="shared" si="10"/>
        <v>46661</v>
      </c>
      <c r="I279" s="12">
        <v>278</v>
      </c>
    </row>
    <row r="280" spans="1:11">
      <c r="A280" s="18" t="s">
        <v>351</v>
      </c>
      <c r="B280" s="39">
        <v>45689</v>
      </c>
      <c r="D280" s="25" t="s">
        <v>134</v>
      </c>
      <c r="E280" s="25" t="s">
        <v>1163</v>
      </c>
      <c r="F280" s="25" t="s">
        <v>134</v>
      </c>
      <c r="G280">
        <v>1160</v>
      </c>
      <c r="H280" s="4">
        <f t="shared" si="10"/>
        <v>46784</v>
      </c>
      <c r="I280">
        <v>279</v>
      </c>
    </row>
    <row r="281" spans="1:11">
      <c r="A281" s="19" t="s">
        <v>351</v>
      </c>
      <c r="B281" s="37">
        <v>45658</v>
      </c>
      <c r="D281" s="29" t="s">
        <v>132</v>
      </c>
      <c r="E281" s="36" t="s">
        <v>131</v>
      </c>
      <c r="F281" s="29" t="s">
        <v>133</v>
      </c>
      <c r="G281" s="15">
        <v>2800</v>
      </c>
      <c r="H281" s="14">
        <f t="shared" si="10"/>
        <v>46753</v>
      </c>
      <c r="I281" s="15">
        <v>280</v>
      </c>
    </row>
    <row r="282" spans="1:11">
      <c r="A282" s="18" t="s">
        <v>351</v>
      </c>
      <c r="B282" s="37">
        <v>45658</v>
      </c>
      <c r="D282" s="29" t="s">
        <v>135</v>
      </c>
      <c r="E282" s="36" t="s">
        <v>1164</v>
      </c>
      <c r="F282" s="29" t="s">
        <v>136</v>
      </c>
      <c r="G282" s="15">
        <v>331</v>
      </c>
      <c r="H282" s="14">
        <f t="shared" si="10"/>
        <v>46753</v>
      </c>
      <c r="I282" s="15">
        <v>281</v>
      </c>
    </row>
    <row r="283" spans="1:11">
      <c r="A283" s="19" t="s">
        <v>351</v>
      </c>
      <c r="B283" s="38">
        <v>45809</v>
      </c>
      <c r="D283" s="28" t="s">
        <v>273</v>
      </c>
      <c r="E283" s="27" t="s">
        <v>1165</v>
      </c>
      <c r="F283" s="28" t="s">
        <v>273</v>
      </c>
      <c r="G283" s="12">
        <v>425</v>
      </c>
      <c r="H283" s="13">
        <f t="shared" si="10"/>
        <v>46904</v>
      </c>
      <c r="I283" s="12">
        <v>282</v>
      </c>
      <c r="K283" s="9" t="s">
        <v>582</v>
      </c>
    </row>
    <row r="284" spans="1:11">
      <c r="A284" s="18" t="s">
        <v>351</v>
      </c>
      <c r="B284" s="39">
        <v>45658</v>
      </c>
      <c r="D284" s="25" t="s">
        <v>770</v>
      </c>
      <c r="E284" s="25" t="s">
        <v>769</v>
      </c>
      <c r="F284" s="25" t="s">
        <v>771</v>
      </c>
      <c r="G284">
        <v>368</v>
      </c>
      <c r="H284" s="4">
        <f t="shared" si="10"/>
        <v>46753</v>
      </c>
      <c r="I284">
        <v>283</v>
      </c>
      <c r="J284" t="s">
        <v>715</v>
      </c>
      <c r="K284" s="9" t="s">
        <v>584</v>
      </c>
    </row>
    <row r="285" spans="1:11">
      <c r="A285" s="19" t="s">
        <v>351</v>
      </c>
      <c r="B285" s="39">
        <v>45413</v>
      </c>
      <c r="D285" s="25" t="s">
        <v>698</v>
      </c>
      <c r="E285" s="25" t="s">
        <v>697</v>
      </c>
      <c r="F285" s="25" t="s">
        <v>698</v>
      </c>
      <c r="G285">
        <v>1078</v>
      </c>
      <c r="H285" s="4">
        <f t="shared" si="10"/>
        <v>46508</v>
      </c>
      <c r="I285">
        <v>284</v>
      </c>
      <c r="J285" t="s">
        <v>717</v>
      </c>
    </row>
    <row r="286" spans="1:11">
      <c r="A286" s="18" t="s">
        <v>351</v>
      </c>
      <c r="B286" s="37">
        <v>45413</v>
      </c>
      <c r="D286" s="29" t="s">
        <v>589</v>
      </c>
      <c r="E286" s="36" t="s">
        <v>588</v>
      </c>
      <c r="F286" s="29" t="s">
        <v>1239</v>
      </c>
      <c r="G286" s="15">
        <v>699</v>
      </c>
      <c r="H286" s="14">
        <f t="shared" si="10"/>
        <v>46508</v>
      </c>
      <c r="I286" s="15">
        <v>285</v>
      </c>
    </row>
    <row r="287" spans="1:11">
      <c r="A287" s="18" t="s">
        <v>351</v>
      </c>
      <c r="B287" s="39">
        <v>45870</v>
      </c>
      <c r="D287" s="25" t="s">
        <v>567</v>
      </c>
      <c r="E287" s="25" t="s">
        <v>1166</v>
      </c>
      <c r="F287" s="25" t="s">
        <v>567</v>
      </c>
      <c r="G287">
        <v>110.8</v>
      </c>
      <c r="H287" s="4">
        <f>B287+1460</f>
        <v>47330</v>
      </c>
      <c r="I287">
        <v>286</v>
      </c>
      <c r="J287" t="s">
        <v>715</v>
      </c>
      <c r="K287" s="9" t="s">
        <v>1011</v>
      </c>
    </row>
    <row r="288" spans="1:11">
      <c r="A288" s="19" t="s">
        <v>351</v>
      </c>
      <c r="B288" s="37">
        <v>45566</v>
      </c>
      <c r="D288" s="29" t="s">
        <v>702</v>
      </c>
      <c r="E288" s="36" t="s">
        <v>701</v>
      </c>
      <c r="F288" s="29" t="s">
        <v>702</v>
      </c>
      <c r="G288" s="40">
        <v>468</v>
      </c>
      <c r="H288" s="14">
        <f>B288+1095</f>
        <v>46661</v>
      </c>
      <c r="I288" s="15">
        <v>287</v>
      </c>
    </row>
    <row r="289" spans="1:11">
      <c r="A289" s="19" t="s">
        <v>351</v>
      </c>
      <c r="B289" s="37">
        <v>45017</v>
      </c>
      <c r="D289" s="29" t="s">
        <v>1241</v>
      </c>
      <c r="E289" s="36" t="s">
        <v>1240</v>
      </c>
      <c r="F289" s="29" t="s">
        <v>452</v>
      </c>
      <c r="G289" s="40">
        <v>308</v>
      </c>
      <c r="H289" s="14">
        <f>B289+1095</f>
        <v>46112</v>
      </c>
      <c r="I289" s="15">
        <v>288</v>
      </c>
    </row>
    <row r="290" spans="1:11">
      <c r="A290" s="18" t="s">
        <v>351</v>
      </c>
      <c r="B290" s="39">
        <v>46023</v>
      </c>
      <c r="D290" s="25" t="s">
        <v>1241</v>
      </c>
      <c r="E290" s="25" t="s">
        <v>1242</v>
      </c>
      <c r="F290" s="25" t="s">
        <v>452</v>
      </c>
      <c r="G290" s="40">
        <v>127.9</v>
      </c>
      <c r="H290" s="4">
        <f>B290+1095</f>
        <v>47118</v>
      </c>
      <c r="I290">
        <v>289</v>
      </c>
    </row>
    <row r="291" spans="1:11">
      <c r="A291" s="18" t="s">
        <v>351</v>
      </c>
      <c r="B291" s="38"/>
      <c r="D291" s="28" t="s">
        <v>259</v>
      </c>
      <c r="E291" s="27" t="s">
        <v>1167</v>
      </c>
      <c r="F291" s="28" t="s">
        <v>259</v>
      </c>
      <c r="G291" s="12">
        <v>179</v>
      </c>
      <c r="H291" s="13">
        <f>B291+720</f>
        <v>720</v>
      </c>
      <c r="I291" s="12">
        <v>290</v>
      </c>
      <c r="K291" s="9" t="s">
        <v>602</v>
      </c>
    </row>
    <row r="292" spans="1:11">
      <c r="A292" s="18" t="s">
        <v>351</v>
      </c>
      <c r="B292" s="39">
        <v>45778</v>
      </c>
      <c r="D292" s="25" t="s">
        <v>704</v>
      </c>
      <c r="E292" s="25" t="s">
        <v>703</v>
      </c>
      <c r="F292" s="25" t="s">
        <v>705</v>
      </c>
      <c r="G292" s="40">
        <v>1138</v>
      </c>
      <c r="H292" s="4">
        <f>B292+1095</f>
        <v>46873</v>
      </c>
      <c r="I292">
        <v>291</v>
      </c>
      <c r="K292" s="9" t="s">
        <v>606</v>
      </c>
    </row>
    <row r="293" spans="1:11">
      <c r="A293" s="19" t="s">
        <v>351</v>
      </c>
      <c r="B293" s="37">
        <v>45717</v>
      </c>
      <c r="D293" s="29" t="s">
        <v>731</v>
      </c>
      <c r="E293" s="36" t="s">
        <v>730</v>
      </c>
      <c r="F293" s="29" t="s">
        <v>732</v>
      </c>
      <c r="G293" s="15">
        <v>297</v>
      </c>
      <c r="H293" s="14">
        <f>B293+1825</f>
        <v>47542</v>
      </c>
      <c r="I293" s="15">
        <v>292</v>
      </c>
    </row>
    <row r="294" spans="1:11">
      <c r="A294" s="19" t="s">
        <v>351</v>
      </c>
      <c r="B294" s="37">
        <v>45717</v>
      </c>
      <c r="D294" s="29" t="s">
        <v>210</v>
      </c>
      <c r="E294" s="36" t="s">
        <v>1168</v>
      </c>
      <c r="F294" s="29" t="s">
        <v>211</v>
      </c>
      <c r="G294" s="15">
        <v>297</v>
      </c>
      <c r="H294" s="14">
        <f>B294+1825</f>
        <v>47542</v>
      </c>
      <c r="I294" s="15">
        <v>293</v>
      </c>
    </row>
    <row r="295" spans="1:11">
      <c r="A295" s="19" t="s">
        <v>351</v>
      </c>
      <c r="B295" s="38">
        <v>45689</v>
      </c>
      <c r="D295" s="28" t="s">
        <v>205</v>
      </c>
      <c r="E295" s="27" t="s">
        <v>1169</v>
      </c>
      <c r="F295" s="28" t="s">
        <v>206</v>
      </c>
      <c r="G295" s="12">
        <v>658</v>
      </c>
      <c r="H295" s="13">
        <f>B295+1825</f>
        <v>47514</v>
      </c>
      <c r="I295" s="12">
        <v>294</v>
      </c>
      <c r="K295" s="9" t="s">
        <v>613</v>
      </c>
    </row>
    <row r="296" spans="1:11">
      <c r="A296" s="18" t="s">
        <v>351</v>
      </c>
      <c r="B296" s="37">
        <v>45689</v>
      </c>
      <c r="D296" s="29" t="s">
        <v>208</v>
      </c>
      <c r="E296" s="36" t="s">
        <v>207</v>
      </c>
      <c r="F296" s="29" t="s">
        <v>209</v>
      </c>
      <c r="G296" s="15">
        <v>436</v>
      </c>
      <c r="H296" s="14">
        <f>B296+1095</f>
        <v>46784</v>
      </c>
      <c r="I296" s="15">
        <v>295</v>
      </c>
    </row>
    <row r="297" spans="1:11">
      <c r="A297" s="19" t="s">
        <v>351</v>
      </c>
      <c r="B297" s="39">
        <v>45658</v>
      </c>
      <c r="D297" s="25" t="s">
        <v>604</v>
      </c>
      <c r="E297" s="25" t="s">
        <v>603</v>
      </c>
      <c r="F297" s="25" t="s">
        <v>605</v>
      </c>
      <c r="G297">
        <v>222</v>
      </c>
      <c r="H297" s="4">
        <f>B297+1825</f>
        <v>47483</v>
      </c>
      <c r="I297">
        <v>296</v>
      </c>
    </row>
    <row r="298" spans="1:11">
      <c r="A298" s="18" t="s">
        <v>351</v>
      </c>
      <c r="B298" s="38"/>
      <c r="D298" s="28" t="s">
        <v>688</v>
      </c>
      <c r="E298" s="27" t="s">
        <v>1170</v>
      </c>
      <c r="F298" s="28" t="s">
        <v>689</v>
      </c>
      <c r="G298" s="12">
        <v>248</v>
      </c>
      <c r="H298" s="13">
        <f t="shared" ref="H298:H303" si="11">B298+1095</f>
        <v>1095</v>
      </c>
      <c r="I298" s="12">
        <v>297</v>
      </c>
    </row>
    <row r="299" spans="1:11">
      <c r="A299" s="18" t="s">
        <v>351</v>
      </c>
      <c r="B299" s="38">
        <v>45658</v>
      </c>
      <c r="D299" s="28" t="s">
        <v>803</v>
      </c>
      <c r="E299" s="27" t="s">
        <v>802</v>
      </c>
      <c r="F299" s="28" t="s">
        <v>803</v>
      </c>
      <c r="G299" s="12">
        <v>299</v>
      </c>
      <c r="H299" s="13">
        <f t="shared" si="11"/>
        <v>46753</v>
      </c>
      <c r="I299" s="12">
        <v>298</v>
      </c>
    </row>
    <row r="300" spans="1:11">
      <c r="A300" s="19" t="s">
        <v>351</v>
      </c>
      <c r="B300" s="37">
        <v>45566</v>
      </c>
      <c r="D300" s="29" t="s">
        <v>248</v>
      </c>
      <c r="E300" s="36" t="s">
        <v>1171</v>
      </c>
      <c r="F300" s="29" t="s">
        <v>248</v>
      </c>
      <c r="G300" s="15">
        <v>1216</v>
      </c>
      <c r="H300" s="14">
        <f t="shared" si="11"/>
        <v>46661</v>
      </c>
      <c r="I300" s="15">
        <v>299</v>
      </c>
    </row>
    <row r="301" spans="1:11">
      <c r="A301" s="18" t="s">
        <v>351</v>
      </c>
      <c r="B301" s="39">
        <v>45383</v>
      </c>
      <c r="D301" s="25" t="s">
        <v>612</v>
      </c>
      <c r="E301" s="25" t="s">
        <v>611</v>
      </c>
      <c r="F301" s="25" t="s">
        <v>612</v>
      </c>
      <c r="G301">
        <v>355</v>
      </c>
      <c r="H301" s="4">
        <f t="shared" si="11"/>
        <v>46478</v>
      </c>
      <c r="I301">
        <v>300</v>
      </c>
    </row>
    <row r="302" spans="1:11">
      <c r="A302" s="19" t="s">
        <v>351</v>
      </c>
      <c r="B302" s="38">
        <v>45748</v>
      </c>
      <c r="D302" s="28" t="s">
        <v>58</v>
      </c>
      <c r="E302" s="27" t="s">
        <v>57</v>
      </c>
      <c r="F302" s="28" t="s">
        <v>59</v>
      </c>
      <c r="G302" s="12" t="s">
        <v>1219</v>
      </c>
      <c r="H302" s="13">
        <f t="shared" si="11"/>
        <v>46843</v>
      </c>
      <c r="I302" s="12">
        <v>301</v>
      </c>
    </row>
    <row r="303" spans="1:11">
      <c r="A303" s="19" t="s">
        <v>351</v>
      </c>
      <c r="B303" s="39">
        <v>45413</v>
      </c>
      <c r="D303" s="25" t="s">
        <v>1172</v>
      </c>
      <c r="E303" s="25" t="s">
        <v>353</v>
      </c>
      <c r="F303" s="25" t="s">
        <v>1172</v>
      </c>
      <c r="G303">
        <v>212</v>
      </c>
      <c r="H303" s="4">
        <f t="shared" si="11"/>
        <v>46508</v>
      </c>
      <c r="I303">
        <v>302</v>
      </c>
    </row>
    <row r="304" spans="1:11">
      <c r="A304" s="19" t="s">
        <v>351</v>
      </c>
      <c r="B304" s="37">
        <v>45705</v>
      </c>
      <c r="D304" s="29" t="s">
        <v>68</v>
      </c>
      <c r="E304" s="36" t="s">
        <v>67</v>
      </c>
      <c r="F304" s="29" t="s">
        <v>68</v>
      </c>
      <c r="G304" s="15">
        <v>139</v>
      </c>
      <c r="H304" s="14">
        <f>B304+1825</f>
        <v>47530</v>
      </c>
      <c r="I304" s="15">
        <v>303</v>
      </c>
    </row>
    <row r="305" spans="1:11">
      <c r="A305" s="18" t="s">
        <v>351</v>
      </c>
      <c r="B305" s="39">
        <v>45809</v>
      </c>
      <c r="D305" s="25" t="s">
        <v>69</v>
      </c>
      <c r="E305" s="25" t="s">
        <v>1173</v>
      </c>
      <c r="F305" s="25" t="s">
        <v>69</v>
      </c>
      <c r="G305">
        <v>299</v>
      </c>
      <c r="H305" s="4">
        <f>B305+1095</f>
        <v>46904</v>
      </c>
      <c r="I305">
        <v>304</v>
      </c>
    </row>
    <row r="306" spans="1:11">
      <c r="A306" s="19" t="s">
        <v>351</v>
      </c>
      <c r="B306" s="38"/>
      <c r="D306" s="28" t="s">
        <v>71</v>
      </c>
      <c r="E306" s="27" t="s">
        <v>70</v>
      </c>
      <c r="F306" s="28" t="s">
        <v>71</v>
      </c>
      <c r="G306" s="12">
        <v>358</v>
      </c>
      <c r="H306" s="13">
        <f>B306+1095</f>
        <v>1095</v>
      </c>
      <c r="I306" s="12">
        <v>305</v>
      </c>
    </row>
    <row r="307" spans="1:11">
      <c r="A307" s="18" t="s">
        <v>351</v>
      </c>
      <c r="B307" s="38">
        <v>45689</v>
      </c>
      <c r="D307" s="28" t="s">
        <v>449</v>
      </c>
      <c r="E307" s="27" t="s">
        <v>448</v>
      </c>
      <c r="F307" s="28" t="s">
        <v>450</v>
      </c>
      <c r="G307" s="40">
        <v>180</v>
      </c>
      <c r="H307" s="13">
        <f>B307+1095</f>
        <v>46784</v>
      </c>
      <c r="I307" s="12">
        <v>306</v>
      </c>
    </row>
    <row r="308" spans="1:11">
      <c r="A308" s="18" t="s">
        <v>351</v>
      </c>
      <c r="B308" s="38">
        <v>45870</v>
      </c>
      <c r="D308" s="28" t="s">
        <v>306</v>
      </c>
      <c r="E308" s="27" t="s">
        <v>1174</v>
      </c>
      <c r="F308" s="28" t="s">
        <v>306</v>
      </c>
      <c r="G308" s="40">
        <v>1299</v>
      </c>
      <c r="H308" s="13"/>
      <c r="I308" s="12">
        <v>307</v>
      </c>
    </row>
    <row r="309" spans="1:11">
      <c r="A309" s="18" t="s">
        <v>351</v>
      </c>
      <c r="B309" s="38">
        <v>45689</v>
      </c>
      <c r="D309" s="28" t="s">
        <v>20</v>
      </c>
      <c r="E309" s="27" t="s">
        <v>19</v>
      </c>
      <c r="F309" s="28" t="s">
        <v>21</v>
      </c>
      <c r="G309" s="12">
        <v>509</v>
      </c>
      <c r="H309" s="13">
        <f t="shared" ref="H309:H317" si="12">B309+1095</f>
        <v>46784</v>
      </c>
      <c r="I309" s="12">
        <v>308</v>
      </c>
      <c r="J309" s="12"/>
    </row>
    <row r="310" spans="1:11">
      <c r="A310" s="19" t="s">
        <v>351</v>
      </c>
      <c r="B310" s="37">
        <v>45658</v>
      </c>
      <c r="D310" s="29" t="s">
        <v>40</v>
      </c>
      <c r="E310" s="36" t="s">
        <v>39</v>
      </c>
      <c r="F310" s="29" t="s">
        <v>40</v>
      </c>
      <c r="G310" s="40">
        <v>499</v>
      </c>
      <c r="H310" s="14">
        <f t="shared" si="12"/>
        <v>46753</v>
      </c>
      <c r="I310" s="15">
        <v>309</v>
      </c>
      <c r="J310" s="15"/>
    </row>
    <row r="311" spans="1:11">
      <c r="A311" s="18" t="s">
        <v>351</v>
      </c>
      <c r="B311" s="38">
        <v>45566</v>
      </c>
      <c r="D311" s="28" t="s">
        <v>38</v>
      </c>
      <c r="E311" s="27" t="s">
        <v>37</v>
      </c>
      <c r="F311" s="28" t="s">
        <v>38</v>
      </c>
      <c r="G311" s="40">
        <v>648</v>
      </c>
      <c r="H311" s="13">
        <f t="shared" si="12"/>
        <v>46661</v>
      </c>
      <c r="I311" s="12">
        <v>310</v>
      </c>
      <c r="J311" s="12"/>
    </row>
    <row r="312" spans="1:11">
      <c r="A312" s="18" t="s">
        <v>351</v>
      </c>
      <c r="B312" s="39">
        <v>46113</v>
      </c>
      <c r="D312" s="25" t="s">
        <v>41</v>
      </c>
      <c r="E312" s="25" t="s">
        <v>1175</v>
      </c>
      <c r="F312" s="25" t="s">
        <v>41</v>
      </c>
      <c r="G312" s="40">
        <v>1206</v>
      </c>
      <c r="H312" s="4">
        <f t="shared" si="12"/>
        <v>47208</v>
      </c>
      <c r="I312">
        <v>311</v>
      </c>
    </row>
    <row r="313" spans="1:11">
      <c r="A313" s="19" t="s">
        <v>351</v>
      </c>
      <c r="B313" s="39">
        <v>46113</v>
      </c>
      <c r="D313" s="25" t="s">
        <v>47</v>
      </c>
      <c r="E313" s="25" t="s">
        <v>1176</v>
      </c>
      <c r="F313" s="25" t="s">
        <v>47</v>
      </c>
      <c r="G313">
        <v>603</v>
      </c>
      <c r="H313" s="4">
        <f t="shared" si="12"/>
        <v>47208</v>
      </c>
      <c r="I313">
        <v>312</v>
      </c>
    </row>
    <row r="314" spans="1:11">
      <c r="A314" s="19" t="s">
        <v>351</v>
      </c>
      <c r="B314" s="38">
        <v>45474</v>
      </c>
      <c r="D314" s="28" t="s">
        <v>44</v>
      </c>
      <c r="E314" s="27" t="s">
        <v>43</v>
      </c>
      <c r="F314" s="28" t="s">
        <v>44</v>
      </c>
      <c r="G314" s="12">
        <v>182</v>
      </c>
      <c r="H314" s="13">
        <f t="shared" si="12"/>
        <v>46569</v>
      </c>
      <c r="I314" s="12">
        <v>313</v>
      </c>
    </row>
    <row r="315" spans="1:11">
      <c r="A315" s="18" t="s">
        <v>351</v>
      </c>
      <c r="B315" s="37">
        <v>45505</v>
      </c>
      <c r="D315" s="29" t="s">
        <v>46</v>
      </c>
      <c r="E315" s="36" t="s">
        <v>45</v>
      </c>
      <c r="F315" s="29" t="s">
        <v>46</v>
      </c>
      <c r="G315" s="15">
        <v>996</v>
      </c>
      <c r="H315" s="14">
        <f t="shared" si="12"/>
        <v>46600</v>
      </c>
      <c r="I315" s="15">
        <v>314</v>
      </c>
    </row>
    <row r="316" spans="1:11">
      <c r="A316" s="19" t="s">
        <v>351</v>
      </c>
      <c r="B316" s="39">
        <v>45505</v>
      </c>
      <c r="D316" s="25" t="s">
        <v>61</v>
      </c>
      <c r="E316" s="25" t="s">
        <v>60</v>
      </c>
      <c r="F316" s="25" t="s">
        <v>62</v>
      </c>
      <c r="G316">
        <v>498</v>
      </c>
      <c r="H316" s="4">
        <f t="shared" si="12"/>
        <v>46600</v>
      </c>
      <c r="I316">
        <v>315</v>
      </c>
    </row>
    <row r="317" spans="1:11">
      <c r="A317" s="19" t="s">
        <v>351</v>
      </c>
      <c r="B317" s="37">
        <v>45992</v>
      </c>
      <c r="D317" s="29" t="s">
        <v>53</v>
      </c>
      <c r="E317" s="36" t="s">
        <v>52</v>
      </c>
      <c r="F317" s="29" t="s">
        <v>54</v>
      </c>
      <c r="G317" s="15">
        <v>958</v>
      </c>
      <c r="H317" s="14">
        <f t="shared" si="12"/>
        <v>47087</v>
      </c>
      <c r="I317" s="15">
        <v>316</v>
      </c>
    </row>
    <row r="318" spans="1:11">
      <c r="A318" s="18" t="s">
        <v>351</v>
      </c>
      <c r="B318" s="38">
        <v>45627</v>
      </c>
      <c r="D318" s="28" t="s">
        <v>49</v>
      </c>
      <c r="E318" s="27" t="s">
        <v>48</v>
      </c>
      <c r="F318" s="28" t="s">
        <v>50</v>
      </c>
      <c r="G318" s="12">
        <v>498</v>
      </c>
      <c r="H318" s="13">
        <f>B318+1096</f>
        <v>46723</v>
      </c>
      <c r="I318" s="12">
        <v>317</v>
      </c>
    </row>
    <row r="319" spans="1:11">
      <c r="A319" s="18" t="s">
        <v>351</v>
      </c>
      <c r="B319" s="39">
        <v>45778</v>
      </c>
      <c r="D319" s="25" t="s">
        <v>151</v>
      </c>
      <c r="E319" s="25" t="s">
        <v>1177</v>
      </c>
      <c r="F319" s="25" t="s">
        <v>152</v>
      </c>
      <c r="G319">
        <v>308</v>
      </c>
      <c r="H319" s="4">
        <f t="shared" ref="H319:H325" si="13">B319+1095</f>
        <v>46873</v>
      </c>
      <c r="I319">
        <v>318</v>
      </c>
    </row>
    <row r="320" spans="1:11">
      <c r="A320" s="18" t="s">
        <v>351</v>
      </c>
      <c r="B320" s="37">
        <v>45658</v>
      </c>
      <c r="D320" s="29" t="s">
        <v>156</v>
      </c>
      <c r="E320" s="36" t="s">
        <v>155</v>
      </c>
      <c r="F320" s="29" t="s">
        <v>157</v>
      </c>
      <c r="G320" s="15">
        <v>468</v>
      </c>
      <c r="H320" s="14">
        <f t="shared" si="13"/>
        <v>46753</v>
      </c>
      <c r="I320" s="15">
        <v>319</v>
      </c>
      <c r="K320" s="9" t="s">
        <v>673</v>
      </c>
    </row>
    <row r="321" spans="1:11">
      <c r="A321" s="19" t="s">
        <v>351</v>
      </c>
      <c r="B321" s="39">
        <v>45658</v>
      </c>
      <c r="D321" s="25" t="s">
        <v>158</v>
      </c>
      <c r="E321" s="25" t="s">
        <v>1178</v>
      </c>
      <c r="F321" s="25" t="s">
        <v>159</v>
      </c>
      <c r="G321">
        <v>468</v>
      </c>
      <c r="H321" s="4">
        <f t="shared" si="13"/>
        <v>46753</v>
      </c>
      <c r="I321">
        <v>320</v>
      </c>
      <c r="K321" s="9" t="s">
        <v>673</v>
      </c>
    </row>
    <row r="322" spans="1:11">
      <c r="A322" s="18" t="s">
        <v>351</v>
      </c>
      <c r="B322" s="38"/>
      <c r="D322" s="28" t="s">
        <v>160</v>
      </c>
      <c r="E322" s="27" t="s">
        <v>1243</v>
      </c>
      <c r="F322" s="28" t="s">
        <v>161</v>
      </c>
      <c r="G322" s="12">
        <v>669</v>
      </c>
      <c r="H322" s="13">
        <f t="shared" si="13"/>
        <v>1095</v>
      </c>
      <c r="I322" s="12">
        <v>321</v>
      </c>
      <c r="J322" s="26" t="s">
        <v>1221</v>
      </c>
    </row>
    <row r="323" spans="1:11">
      <c r="A323" s="19" t="s">
        <v>351</v>
      </c>
      <c r="B323" s="37">
        <v>45383</v>
      </c>
      <c r="D323" s="29" t="s">
        <v>160</v>
      </c>
      <c r="E323" s="36" t="s">
        <v>1244</v>
      </c>
      <c r="F323" s="29" t="s">
        <v>161</v>
      </c>
      <c r="G323" s="15">
        <v>189</v>
      </c>
      <c r="H323" s="14">
        <f t="shared" si="13"/>
        <v>46478</v>
      </c>
      <c r="I323" s="15">
        <v>322</v>
      </c>
    </row>
    <row r="324" spans="1:11">
      <c r="A324" s="19" t="s">
        <v>351</v>
      </c>
      <c r="B324" s="39">
        <v>45717</v>
      </c>
      <c r="D324" s="25" t="s">
        <v>144</v>
      </c>
      <c r="E324" s="25" t="s">
        <v>1179</v>
      </c>
      <c r="F324" s="25" t="s">
        <v>145</v>
      </c>
      <c r="G324">
        <v>245</v>
      </c>
      <c r="H324" s="4">
        <f t="shared" si="13"/>
        <v>46812</v>
      </c>
      <c r="I324">
        <v>323</v>
      </c>
    </row>
    <row r="325" spans="1:11">
      <c r="A325" s="18" t="s">
        <v>351</v>
      </c>
      <c r="B325" s="38">
        <v>45717</v>
      </c>
      <c r="D325" s="28" t="s">
        <v>100</v>
      </c>
      <c r="E325" s="27" t="s">
        <v>99</v>
      </c>
      <c r="F325" s="28" t="s">
        <v>101</v>
      </c>
      <c r="G325" s="12">
        <v>106</v>
      </c>
      <c r="H325" s="13">
        <f t="shared" si="13"/>
        <v>46812</v>
      </c>
      <c r="I325" s="12">
        <v>324</v>
      </c>
    </row>
    <row r="326" spans="1:11">
      <c r="A326" s="19" t="s">
        <v>351</v>
      </c>
      <c r="B326" s="37">
        <v>45444</v>
      </c>
      <c r="D326" s="29" t="s">
        <v>406</v>
      </c>
      <c r="E326" s="36" t="s">
        <v>1180</v>
      </c>
      <c r="F326" s="29" t="s">
        <v>407</v>
      </c>
      <c r="G326" s="40">
        <v>359</v>
      </c>
      <c r="H326" s="14">
        <f>B326+1800</f>
        <v>47244</v>
      </c>
      <c r="I326" s="15">
        <v>325</v>
      </c>
    </row>
    <row r="327" spans="1:11">
      <c r="A327" s="18" t="s">
        <v>351</v>
      </c>
      <c r="B327" s="39">
        <v>45658</v>
      </c>
      <c r="D327" s="25" t="s">
        <v>409</v>
      </c>
      <c r="E327" s="25" t="s">
        <v>408</v>
      </c>
      <c r="F327" s="25" t="s">
        <v>409</v>
      </c>
      <c r="G327" s="40">
        <v>1400</v>
      </c>
      <c r="H327" s="4">
        <f>B327+1095</f>
        <v>46753</v>
      </c>
      <c r="I327">
        <v>326</v>
      </c>
    </row>
    <row r="328" spans="1:11">
      <c r="A328" s="19" t="s">
        <v>351</v>
      </c>
      <c r="B328" s="39">
        <v>45717</v>
      </c>
      <c r="D328" s="25" t="s">
        <v>178</v>
      </c>
      <c r="E328" s="25" t="s">
        <v>1181</v>
      </c>
      <c r="F328" s="25" t="s">
        <v>179</v>
      </c>
      <c r="G328">
        <v>1559</v>
      </c>
      <c r="H328" s="4">
        <f>B328+1095</f>
        <v>46812</v>
      </c>
      <c r="I328">
        <v>327</v>
      </c>
    </row>
    <row r="329" spans="1:11">
      <c r="A329" s="18" t="s">
        <v>351</v>
      </c>
      <c r="B329" s="39">
        <v>45658</v>
      </c>
      <c r="D329" s="25" t="s">
        <v>162</v>
      </c>
      <c r="E329" s="25" t="s">
        <v>1182</v>
      </c>
      <c r="F329" s="25" t="s">
        <v>163</v>
      </c>
      <c r="G329">
        <v>656</v>
      </c>
      <c r="H329" s="4">
        <f>B329+1095</f>
        <v>46753</v>
      </c>
      <c r="I329">
        <v>328</v>
      </c>
    </row>
    <row r="330" spans="1:11">
      <c r="A330" s="19" t="s">
        <v>351</v>
      </c>
      <c r="B330" s="37">
        <v>45108</v>
      </c>
      <c r="D330" s="29" t="s">
        <v>149</v>
      </c>
      <c r="E330" s="36" t="s">
        <v>148</v>
      </c>
      <c r="F330" s="29" t="s">
        <v>150</v>
      </c>
      <c r="G330" s="15">
        <v>235</v>
      </c>
      <c r="H330" s="14">
        <f>B330+1825</f>
        <v>46933</v>
      </c>
      <c r="I330" s="15">
        <v>329</v>
      </c>
    </row>
    <row r="331" spans="1:11">
      <c r="A331" s="19" t="s">
        <v>351</v>
      </c>
      <c r="B331" s="38">
        <v>45413</v>
      </c>
      <c r="D331" s="28" t="s">
        <v>153</v>
      </c>
      <c r="E331" s="27" t="s">
        <v>1183</v>
      </c>
      <c r="F331" s="28" t="s">
        <v>154</v>
      </c>
      <c r="G331" s="12">
        <v>208</v>
      </c>
      <c r="H331" s="13">
        <f>B331+1095</f>
        <v>46508</v>
      </c>
      <c r="I331" s="12">
        <v>330</v>
      </c>
    </row>
    <row r="332" spans="1:11">
      <c r="A332" s="18" t="s">
        <v>351</v>
      </c>
      <c r="B332" s="37">
        <v>45717</v>
      </c>
      <c r="D332" s="29" t="s">
        <v>444</v>
      </c>
      <c r="E332" s="36" t="s">
        <v>1184</v>
      </c>
      <c r="F332" s="29" t="s">
        <v>445</v>
      </c>
      <c r="G332" s="15">
        <v>208</v>
      </c>
      <c r="H332" s="14">
        <f>B332+1825</f>
        <v>47542</v>
      </c>
      <c r="I332" s="15">
        <v>331</v>
      </c>
      <c r="J332" t="s">
        <v>733</v>
      </c>
    </row>
    <row r="333" spans="1:11">
      <c r="A333" s="19" t="s">
        <v>351</v>
      </c>
      <c r="B333" s="37"/>
      <c r="D333" s="29" t="s">
        <v>691</v>
      </c>
      <c r="E333" s="36" t="s">
        <v>690</v>
      </c>
      <c r="F333" s="29" t="s">
        <v>691</v>
      </c>
      <c r="G333" s="15">
        <v>358</v>
      </c>
      <c r="H333" s="14">
        <f>B333+1095</f>
        <v>1095</v>
      </c>
      <c r="I333" s="15">
        <v>332</v>
      </c>
    </row>
    <row r="334" spans="1:11">
      <c r="A334" s="18" t="s">
        <v>351</v>
      </c>
      <c r="B334" s="37">
        <v>45566</v>
      </c>
      <c r="D334" s="29" t="s">
        <v>748</v>
      </c>
      <c r="E334" s="36" t="s">
        <v>1185</v>
      </c>
      <c r="F334" s="29" t="s">
        <v>748</v>
      </c>
      <c r="G334" s="15">
        <v>1954</v>
      </c>
      <c r="H334" s="14">
        <f>B334+1095</f>
        <v>46661</v>
      </c>
      <c r="I334" s="15">
        <v>333</v>
      </c>
    </row>
    <row r="335" spans="1:11">
      <c r="A335" s="18" t="s">
        <v>351</v>
      </c>
      <c r="B335" s="38">
        <v>45560</v>
      </c>
      <c r="D335" s="28" t="s">
        <v>752</v>
      </c>
      <c r="E335" s="27" t="s">
        <v>751</v>
      </c>
      <c r="F335" s="28" t="s">
        <v>752</v>
      </c>
      <c r="G335" s="12">
        <v>575</v>
      </c>
      <c r="H335" s="13">
        <f>B335+1096</f>
        <v>46656</v>
      </c>
      <c r="I335" s="12">
        <v>334</v>
      </c>
    </row>
    <row r="336" spans="1:11">
      <c r="A336" s="19" t="s">
        <v>351</v>
      </c>
      <c r="B336" s="39">
        <v>45870</v>
      </c>
      <c r="D336" s="25" t="s">
        <v>139</v>
      </c>
      <c r="E336" s="25" t="s">
        <v>138</v>
      </c>
      <c r="F336" s="25" t="s">
        <v>139</v>
      </c>
      <c r="G336">
        <v>130.4</v>
      </c>
      <c r="H336" s="4">
        <f t="shared" ref="H336:H341" si="14">B336+1095</f>
        <v>46965</v>
      </c>
      <c r="I336">
        <v>335</v>
      </c>
    </row>
    <row r="337" spans="1:11">
      <c r="A337" s="19" t="s">
        <v>351</v>
      </c>
      <c r="B337" s="39">
        <v>45597</v>
      </c>
      <c r="D337" s="25" t="s">
        <v>129</v>
      </c>
      <c r="E337" s="25" t="s">
        <v>1186</v>
      </c>
      <c r="F337" s="25" t="s">
        <v>129</v>
      </c>
      <c r="G337">
        <v>299</v>
      </c>
      <c r="H337" s="4">
        <f t="shared" si="14"/>
        <v>46692</v>
      </c>
      <c r="I337">
        <v>336</v>
      </c>
    </row>
    <row r="338" spans="1:11">
      <c r="A338" s="19" t="s">
        <v>351</v>
      </c>
      <c r="B338" s="37">
        <v>45839</v>
      </c>
      <c r="D338" s="29" t="s">
        <v>346</v>
      </c>
      <c r="E338" s="36" t="s">
        <v>1187</v>
      </c>
      <c r="F338" s="29" t="s">
        <v>346</v>
      </c>
      <c r="G338" s="40">
        <v>584</v>
      </c>
      <c r="H338" s="14">
        <f t="shared" si="14"/>
        <v>46934</v>
      </c>
      <c r="I338" s="15">
        <v>337</v>
      </c>
    </row>
    <row r="339" spans="1:11">
      <c r="A339" s="19" t="s">
        <v>351</v>
      </c>
      <c r="B339" s="39">
        <v>45748</v>
      </c>
      <c r="D339" s="25" t="s">
        <v>343</v>
      </c>
      <c r="E339" s="25" t="s">
        <v>1188</v>
      </c>
      <c r="F339" s="25" t="s">
        <v>343</v>
      </c>
      <c r="G339">
        <v>259</v>
      </c>
      <c r="H339" s="4">
        <f t="shared" si="14"/>
        <v>46843</v>
      </c>
      <c r="I339">
        <v>338</v>
      </c>
    </row>
    <row r="340" spans="1:11">
      <c r="A340" s="18" t="s">
        <v>351</v>
      </c>
      <c r="B340" s="39">
        <v>45505</v>
      </c>
      <c r="D340" s="25" t="s">
        <v>339</v>
      </c>
      <c r="E340" s="25" t="s">
        <v>338</v>
      </c>
      <c r="F340" s="25" t="s">
        <v>1189</v>
      </c>
      <c r="G340">
        <v>460</v>
      </c>
      <c r="H340" s="4">
        <f t="shared" si="14"/>
        <v>46600</v>
      </c>
      <c r="I340">
        <v>339</v>
      </c>
      <c r="K340" s="9" t="s">
        <v>712</v>
      </c>
    </row>
    <row r="341" spans="1:11">
      <c r="A341" s="18" t="s">
        <v>351</v>
      </c>
      <c r="B341" s="38">
        <v>45870</v>
      </c>
      <c r="D341" s="28" t="s">
        <v>344</v>
      </c>
      <c r="E341" s="27" t="s">
        <v>1190</v>
      </c>
      <c r="F341" s="28" t="s">
        <v>344</v>
      </c>
      <c r="G341" s="40">
        <v>130.4</v>
      </c>
      <c r="H341" s="13">
        <f t="shared" si="14"/>
        <v>46965</v>
      </c>
      <c r="I341" s="12">
        <v>340</v>
      </c>
    </row>
    <row r="342" spans="1:11">
      <c r="A342" s="18" t="s">
        <v>351</v>
      </c>
      <c r="B342" s="37">
        <v>45597</v>
      </c>
      <c r="D342" s="29" t="s">
        <v>341</v>
      </c>
      <c r="E342" s="36" t="s">
        <v>1191</v>
      </c>
      <c r="F342" s="29" t="s">
        <v>341</v>
      </c>
      <c r="G342" s="15">
        <v>588</v>
      </c>
      <c r="H342" s="14">
        <f>B342+1825</f>
        <v>47422</v>
      </c>
      <c r="I342" s="15">
        <v>341</v>
      </c>
    </row>
    <row r="343" spans="1:11">
      <c r="A343" s="18" t="s">
        <v>351</v>
      </c>
      <c r="B343" s="39">
        <v>45047</v>
      </c>
      <c r="D343" s="25" t="s">
        <v>348</v>
      </c>
      <c r="E343" s="25" t="s">
        <v>347</v>
      </c>
      <c r="F343" s="25" t="s">
        <v>348</v>
      </c>
      <c r="G343" s="40">
        <v>759</v>
      </c>
      <c r="H343" s="4">
        <f>B343+1095</f>
        <v>46142</v>
      </c>
      <c r="I343">
        <v>342</v>
      </c>
      <c r="K343" s="9" t="s">
        <v>716</v>
      </c>
    </row>
    <row r="344" spans="1:11">
      <c r="A344" s="19" t="s">
        <v>351</v>
      </c>
      <c r="B344" s="39">
        <v>45444</v>
      </c>
      <c r="D344" s="25" t="s">
        <v>739</v>
      </c>
      <c r="E344" s="25" t="s">
        <v>738</v>
      </c>
      <c r="F344" s="25" t="s">
        <v>739</v>
      </c>
      <c r="G344">
        <v>699</v>
      </c>
      <c r="H344" s="4">
        <f>B344+1095</f>
        <v>46539</v>
      </c>
      <c r="I344">
        <v>343</v>
      </c>
      <c r="K344" s="9" t="s">
        <v>718</v>
      </c>
    </row>
    <row r="345" spans="1:11">
      <c r="A345" s="19" t="s">
        <v>351</v>
      </c>
      <c r="B345" s="38">
        <v>45231</v>
      </c>
      <c r="D345" s="28" t="s">
        <v>340</v>
      </c>
      <c r="E345" s="27" t="s">
        <v>1192</v>
      </c>
      <c r="F345" s="28" t="s">
        <v>340</v>
      </c>
      <c r="G345" s="12">
        <v>276</v>
      </c>
      <c r="H345" s="13">
        <f>B345+1095</f>
        <v>46326</v>
      </c>
      <c r="I345" s="12">
        <v>344</v>
      </c>
    </row>
    <row r="346" spans="1:11">
      <c r="A346" s="18" t="s">
        <v>351</v>
      </c>
      <c r="B346" s="37">
        <v>45474</v>
      </c>
      <c r="D346" s="29" t="s">
        <v>737</v>
      </c>
      <c r="E346" s="36" t="s">
        <v>1193</v>
      </c>
      <c r="F346" s="29" t="s">
        <v>737</v>
      </c>
      <c r="G346" s="15">
        <v>399</v>
      </c>
      <c r="H346" s="14">
        <f>B346+1095</f>
        <v>46569</v>
      </c>
      <c r="I346" s="15">
        <v>345</v>
      </c>
    </row>
    <row r="347" spans="1:11">
      <c r="A347" s="19" t="s">
        <v>351</v>
      </c>
      <c r="B347" s="37">
        <v>45536</v>
      </c>
      <c r="D347" s="29" t="s">
        <v>476</v>
      </c>
      <c r="E347" s="36" t="s">
        <v>475</v>
      </c>
      <c r="F347" s="29" t="s">
        <v>476</v>
      </c>
      <c r="G347" s="15">
        <v>587.83000000000004</v>
      </c>
      <c r="H347" s="14">
        <f>B347+1825</f>
        <v>47361</v>
      </c>
      <c r="I347" s="15">
        <v>346</v>
      </c>
    </row>
    <row r="348" spans="1:11">
      <c r="A348" s="18" t="s">
        <v>351</v>
      </c>
      <c r="B348" s="38">
        <v>45748</v>
      </c>
      <c r="D348" s="28" t="s">
        <v>474</v>
      </c>
      <c r="E348" s="27" t="s">
        <v>473</v>
      </c>
      <c r="F348" s="28" t="s">
        <v>474</v>
      </c>
      <c r="G348" s="12">
        <v>252</v>
      </c>
      <c r="H348" s="13">
        <f>B348+1095</f>
        <v>46843</v>
      </c>
      <c r="I348" s="12">
        <v>347</v>
      </c>
      <c r="K348" s="9" t="s">
        <v>721</v>
      </c>
    </row>
    <row r="349" spans="1:11">
      <c r="A349" s="18" t="s">
        <v>351</v>
      </c>
      <c r="B349" s="39"/>
      <c r="D349" s="25" t="s">
        <v>744</v>
      </c>
      <c r="E349" s="25" t="s">
        <v>1194</v>
      </c>
      <c r="F349" s="25" t="s">
        <v>744</v>
      </c>
      <c r="G349" s="40" t="s">
        <v>1219</v>
      </c>
      <c r="H349" s="4">
        <f>B349+1095</f>
        <v>1095</v>
      </c>
      <c r="I349">
        <v>348</v>
      </c>
    </row>
    <row r="350" spans="1:11">
      <c r="A350" s="19" t="s">
        <v>351</v>
      </c>
      <c r="B350" s="38">
        <v>45474</v>
      </c>
      <c r="D350" s="28" t="s">
        <v>624</v>
      </c>
      <c r="E350" s="27" t="s">
        <v>623</v>
      </c>
      <c r="F350" s="28" t="s">
        <v>624</v>
      </c>
      <c r="G350" s="12">
        <v>159</v>
      </c>
      <c r="H350" s="13">
        <f>B350+1095</f>
        <v>46569</v>
      </c>
      <c r="I350" s="12">
        <v>349</v>
      </c>
    </row>
    <row r="351" spans="1:11">
      <c r="A351" s="18" t="s">
        <v>351</v>
      </c>
      <c r="B351" s="37">
        <v>45717</v>
      </c>
      <c r="D351" s="29" t="s">
        <v>617</v>
      </c>
      <c r="E351" s="36" t="s">
        <v>616</v>
      </c>
      <c r="F351" s="29" t="s">
        <v>617</v>
      </c>
      <c r="G351" s="15">
        <v>199</v>
      </c>
      <c r="H351" s="14">
        <f>B351+1825</f>
        <v>47542</v>
      </c>
      <c r="I351" s="15">
        <v>350</v>
      </c>
    </row>
    <row r="352" spans="1:11">
      <c r="A352" s="19" t="s">
        <v>351</v>
      </c>
      <c r="B352" s="37">
        <v>45536</v>
      </c>
      <c r="D352" s="29" t="s">
        <v>522</v>
      </c>
      <c r="E352" s="36" t="s">
        <v>1195</v>
      </c>
      <c r="F352" s="29" t="s">
        <v>522</v>
      </c>
      <c r="G352" s="15">
        <v>899</v>
      </c>
      <c r="H352" s="14">
        <f>B352+1825</f>
        <v>47361</v>
      </c>
      <c r="I352" s="15">
        <v>351</v>
      </c>
    </row>
    <row r="353" spans="1:11">
      <c r="A353" s="19" t="s">
        <v>351</v>
      </c>
      <c r="B353" s="39">
        <v>46023</v>
      </c>
      <c r="D353" s="25" t="s">
        <v>517</v>
      </c>
      <c r="E353" s="25" t="s">
        <v>516</v>
      </c>
      <c r="F353" s="25" t="s">
        <v>518</v>
      </c>
      <c r="G353">
        <v>149</v>
      </c>
      <c r="H353" s="4">
        <f>B353+1825</f>
        <v>47848</v>
      </c>
      <c r="I353">
        <v>352</v>
      </c>
    </row>
    <row r="354" spans="1:11">
      <c r="A354" s="18" t="s">
        <v>351</v>
      </c>
      <c r="B354" s="37">
        <v>45658</v>
      </c>
      <c r="D354" s="29" t="s">
        <v>1196</v>
      </c>
      <c r="E354" s="36" t="s">
        <v>453</v>
      </c>
      <c r="F354" s="29" t="s">
        <v>454</v>
      </c>
      <c r="G354" s="15">
        <v>99</v>
      </c>
      <c r="H354" s="14">
        <f>B354+1825</f>
        <v>47483</v>
      </c>
      <c r="I354" s="15">
        <v>353</v>
      </c>
    </row>
    <row r="355" spans="1:11">
      <c r="A355" s="19" t="s">
        <v>351</v>
      </c>
      <c r="B355" s="37"/>
      <c r="D355" s="29" t="s">
        <v>789</v>
      </c>
      <c r="E355" s="36" t="s">
        <v>1197</v>
      </c>
      <c r="F355" s="29" t="s">
        <v>789</v>
      </c>
      <c r="G355" s="15">
        <v>339</v>
      </c>
      <c r="H355" s="14">
        <f>B355+1095</f>
        <v>1095</v>
      </c>
      <c r="I355" s="15">
        <v>354</v>
      </c>
    </row>
    <row r="356" spans="1:11">
      <c r="A356" s="18" t="s">
        <v>351</v>
      </c>
      <c r="B356" s="39">
        <v>45566</v>
      </c>
      <c r="D356" s="25" t="s">
        <v>1199</v>
      </c>
      <c r="E356" s="25" t="s">
        <v>1198</v>
      </c>
      <c r="F356" s="25" t="s">
        <v>1199</v>
      </c>
      <c r="G356" t="s">
        <v>1219</v>
      </c>
      <c r="H356" s="4">
        <f>B356+1095</f>
        <v>46661</v>
      </c>
      <c r="I356">
        <v>355</v>
      </c>
    </row>
    <row r="357" spans="1:11">
      <c r="A357" s="19" t="s">
        <v>351</v>
      </c>
      <c r="B357" s="38">
        <v>45505</v>
      </c>
      <c r="D357" s="28" t="s">
        <v>761</v>
      </c>
      <c r="E357" s="27" t="s">
        <v>760</v>
      </c>
      <c r="F357" s="28" t="s">
        <v>762</v>
      </c>
      <c r="G357" s="12">
        <v>269</v>
      </c>
      <c r="H357" s="13">
        <f>B357+1095</f>
        <v>46600</v>
      </c>
      <c r="I357" s="12">
        <v>356</v>
      </c>
    </row>
    <row r="358" spans="1:11">
      <c r="A358" s="18" t="s">
        <v>351</v>
      </c>
      <c r="B358" s="38">
        <v>45536</v>
      </c>
      <c r="D358" s="28" t="s">
        <v>699</v>
      </c>
      <c r="E358" s="27" t="s">
        <v>1200</v>
      </c>
      <c r="F358" s="28" t="s">
        <v>700</v>
      </c>
      <c r="G358" s="40">
        <v>899</v>
      </c>
      <c r="H358" s="13">
        <f>B358+1095</f>
        <v>46631</v>
      </c>
      <c r="I358" s="12">
        <v>357</v>
      </c>
      <c r="J358" t="s">
        <v>137</v>
      </c>
    </row>
    <row r="359" spans="1:11">
      <c r="A359" s="18" t="s">
        <v>351</v>
      </c>
      <c r="B359" s="38">
        <v>45413</v>
      </c>
      <c r="D359" s="28" t="s">
        <v>269</v>
      </c>
      <c r="E359" s="27" t="s">
        <v>268</v>
      </c>
      <c r="F359" s="28" t="s">
        <v>270</v>
      </c>
      <c r="G359" s="40">
        <v>410</v>
      </c>
      <c r="H359" s="13">
        <f>B359+1096</f>
        <v>46509</v>
      </c>
      <c r="I359" s="12">
        <v>358</v>
      </c>
    </row>
    <row r="360" spans="1:11">
      <c r="A360" s="18" t="s">
        <v>351</v>
      </c>
      <c r="B360" s="39">
        <v>45778</v>
      </c>
      <c r="D360" s="25" t="s">
        <v>477</v>
      </c>
      <c r="E360" s="25" t="s">
        <v>1201</v>
      </c>
      <c r="F360" s="25" t="s">
        <v>478</v>
      </c>
      <c r="G360">
        <v>295.2</v>
      </c>
      <c r="H360" s="4">
        <f>B360+1095</f>
        <v>46873</v>
      </c>
      <c r="I360">
        <v>359</v>
      </c>
    </row>
    <row r="361" spans="1:11">
      <c r="A361" s="19" t="s">
        <v>351</v>
      </c>
      <c r="B361" s="38"/>
      <c r="D361" s="28" t="s">
        <v>252</v>
      </c>
      <c r="E361" s="27" t="s">
        <v>1202</v>
      </c>
      <c r="F361" s="28" t="s">
        <v>253</v>
      </c>
      <c r="G361" s="12">
        <v>295.2</v>
      </c>
      <c r="H361" s="13">
        <f>B363+1095</f>
        <v>46753</v>
      </c>
      <c r="I361" s="12">
        <v>360</v>
      </c>
    </row>
    <row r="362" spans="1:11">
      <c r="A362" s="18" t="s">
        <v>351</v>
      </c>
      <c r="B362" s="38"/>
      <c r="D362" s="28" t="s">
        <v>1204</v>
      </c>
      <c r="E362" s="27" t="s">
        <v>1203</v>
      </c>
      <c r="F362" s="28" t="s">
        <v>199</v>
      </c>
      <c r="G362" s="40">
        <v>135</v>
      </c>
      <c r="H362" s="13">
        <f t="shared" ref="H362:H370" si="15">B362+1095</f>
        <v>1095</v>
      </c>
      <c r="I362" s="12">
        <v>361</v>
      </c>
    </row>
    <row r="363" spans="1:11">
      <c r="A363" s="19" t="s">
        <v>351</v>
      </c>
      <c r="B363" s="37">
        <v>45658</v>
      </c>
      <c r="D363" s="29" t="s">
        <v>201</v>
      </c>
      <c r="E363" s="36" t="s">
        <v>200</v>
      </c>
      <c r="F363" s="29" t="s">
        <v>202</v>
      </c>
      <c r="G363" s="40">
        <v>136</v>
      </c>
      <c r="H363" s="14">
        <f t="shared" si="15"/>
        <v>46753</v>
      </c>
      <c r="I363" s="15">
        <v>362</v>
      </c>
    </row>
    <row r="364" spans="1:11">
      <c r="A364" s="18" t="s">
        <v>351</v>
      </c>
      <c r="B364" s="39">
        <v>45536</v>
      </c>
      <c r="D364" s="25" t="s">
        <v>203</v>
      </c>
      <c r="E364" s="25" t="s">
        <v>1205</v>
      </c>
      <c r="F364" s="25" t="s">
        <v>204</v>
      </c>
      <c r="G364" s="40">
        <v>149</v>
      </c>
      <c r="H364" s="4">
        <f t="shared" si="15"/>
        <v>46631</v>
      </c>
      <c r="I364">
        <v>363</v>
      </c>
      <c r="K364" s="9" t="s">
        <v>756</v>
      </c>
    </row>
    <row r="365" spans="1:11">
      <c r="A365" s="18" t="s">
        <v>351</v>
      </c>
      <c r="B365" s="39">
        <v>45536</v>
      </c>
      <c r="D365" s="25" t="s">
        <v>212</v>
      </c>
      <c r="E365" s="25" t="s">
        <v>1206</v>
      </c>
      <c r="F365" s="25" t="s">
        <v>213</v>
      </c>
      <c r="G365">
        <v>1276</v>
      </c>
      <c r="H365" s="4">
        <f t="shared" si="15"/>
        <v>46631</v>
      </c>
      <c r="I365">
        <v>364</v>
      </c>
      <c r="K365" s="9" t="s">
        <v>759</v>
      </c>
    </row>
    <row r="366" spans="1:11">
      <c r="A366" s="19" t="s">
        <v>351</v>
      </c>
      <c r="B366" s="39">
        <v>45597</v>
      </c>
      <c r="D366" s="25" t="s">
        <v>687</v>
      </c>
      <c r="E366" s="25" t="s">
        <v>1207</v>
      </c>
      <c r="F366" s="25" t="s">
        <v>687</v>
      </c>
      <c r="G366">
        <v>1199</v>
      </c>
      <c r="H366" s="4">
        <f t="shared" si="15"/>
        <v>46692</v>
      </c>
      <c r="I366">
        <v>365</v>
      </c>
    </row>
    <row r="367" spans="1:11">
      <c r="A367" s="19" t="s">
        <v>351</v>
      </c>
      <c r="B367" s="38">
        <v>45505</v>
      </c>
      <c r="D367" s="28" t="s">
        <v>1012</v>
      </c>
      <c r="E367" s="27" t="s">
        <v>1208</v>
      </c>
      <c r="F367" s="28" t="s">
        <v>1013</v>
      </c>
      <c r="G367" s="12">
        <v>687</v>
      </c>
      <c r="H367" s="13">
        <f t="shared" si="15"/>
        <v>46600</v>
      </c>
      <c r="I367" s="12">
        <v>366</v>
      </c>
      <c r="J367" s="26" t="s">
        <v>1220</v>
      </c>
    </row>
    <row r="368" spans="1:11">
      <c r="A368" s="18" t="s">
        <v>351</v>
      </c>
      <c r="B368" s="39">
        <v>45717</v>
      </c>
      <c r="D368" s="25" t="s">
        <v>1014</v>
      </c>
      <c r="E368" s="25" t="s">
        <v>1209</v>
      </c>
      <c r="F368" s="25" t="s">
        <v>1014</v>
      </c>
      <c r="G368">
        <v>181.9</v>
      </c>
      <c r="H368" s="4">
        <f t="shared" si="15"/>
        <v>46812</v>
      </c>
      <c r="I368">
        <v>367</v>
      </c>
      <c r="J368" t="s">
        <v>147</v>
      </c>
    </row>
    <row r="369" spans="1:9">
      <c r="A369" s="19" t="s">
        <v>351</v>
      </c>
      <c r="B369" s="38">
        <v>45627</v>
      </c>
      <c r="D369" s="28" t="s">
        <v>1015</v>
      </c>
      <c r="E369" s="27" t="s">
        <v>1210</v>
      </c>
      <c r="F369" s="28" t="s">
        <v>1015</v>
      </c>
      <c r="G369" s="12">
        <v>1300</v>
      </c>
      <c r="H369" s="13">
        <f t="shared" si="15"/>
        <v>46722</v>
      </c>
      <c r="I369" s="12">
        <v>368</v>
      </c>
    </row>
    <row r="370" spans="1:9">
      <c r="A370" s="19" t="s">
        <v>351</v>
      </c>
      <c r="B370" s="38">
        <v>45505</v>
      </c>
      <c r="D370" s="28" t="s">
        <v>1212</v>
      </c>
      <c r="E370" s="27" t="s">
        <v>1211</v>
      </c>
      <c r="F370" s="28" t="s">
        <v>1213</v>
      </c>
      <c r="G370" s="12">
        <v>269</v>
      </c>
      <c r="H370" s="13">
        <f t="shared" si="15"/>
        <v>46600</v>
      </c>
      <c r="I370" s="12">
        <v>369</v>
      </c>
    </row>
    <row r="371" spans="1:9">
      <c r="A371" s="18" t="s">
        <v>351</v>
      </c>
      <c r="B371" s="37"/>
      <c r="D371" s="29" t="s">
        <v>1215</v>
      </c>
      <c r="E371" s="36" t="s">
        <v>1214</v>
      </c>
      <c r="F371" s="29" t="s">
        <v>1216</v>
      </c>
      <c r="G371" s="15"/>
      <c r="H371" s="14"/>
      <c r="I371" s="15">
        <v>370</v>
      </c>
    </row>
    <row r="372" spans="1:9">
      <c r="A372" s="18" t="s">
        <v>351</v>
      </c>
      <c r="B372" s="37"/>
      <c r="D372" s="29" t="s">
        <v>1218</v>
      </c>
      <c r="E372" s="36" t="s">
        <v>1217</v>
      </c>
      <c r="F372" s="29" t="s">
        <v>1218</v>
      </c>
      <c r="G372" s="15"/>
      <c r="H372" s="14"/>
      <c r="I372" s="15">
        <v>371</v>
      </c>
    </row>
    <row r="373" spans="1:9">
      <c r="A373" s="19" t="s">
        <v>351</v>
      </c>
      <c r="B373" s="38"/>
      <c r="D373" s="28" t="s">
        <v>1246</v>
      </c>
      <c r="E373" s="27" t="s">
        <v>1245</v>
      </c>
      <c r="F373" s="28" t="s">
        <v>1247</v>
      </c>
      <c r="G373" s="12"/>
      <c r="H373" s="13"/>
      <c r="I373" s="12">
        <v>372</v>
      </c>
    </row>
    <row r="374" spans="1:9">
      <c r="A374" s="18" t="s">
        <v>351</v>
      </c>
      <c r="B374" s="37"/>
      <c r="D374" s="29" t="s">
        <v>1249</v>
      </c>
      <c r="E374" s="36" t="s">
        <v>1248</v>
      </c>
      <c r="F374" s="29" t="s">
        <v>1250</v>
      </c>
      <c r="G374" s="15"/>
      <c r="H374" s="14"/>
      <c r="I374" s="15">
        <v>373</v>
      </c>
    </row>
    <row r="375" spans="1:9">
      <c r="A375" s="18" t="s">
        <v>351</v>
      </c>
      <c r="B375" s="38"/>
      <c r="D375" s="28" t="s">
        <v>1252</v>
      </c>
      <c r="E375" s="27" t="s">
        <v>1251</v>
      </c>
      <c r="F375" s="28" t="s">
        <v>1253</v>
      </c>
      <c r="G375" s="12"/>
      <c r="H375" s="13"/>
      <c r="I375" s="12">
        <v>374</v>
      </c>
    </row>
    <row r="376" spans="1:9">
      <c r="A376" s="18" t="s">
        <v>351</v>
      </c>
      <c r="B376" s="39"/>
      <c r="D376" s="25" t="s">
        <v>1255</v>
      </c>
      <c r="E376" s="25" t="s">
        <v>1254</v>
      </c>
      <c r="F376" s="25" t="s">
        <v>1256</v>
      </c>
      <c r="I376">
        <v>375</v>
      </c>
    </row>
    <row r="377" spans="1:9">
      <c r="A377" s="19" t="s">
        <v>351</v>
      </c>
      <c r="B377" s="37"/>
      <c r="D377" s="29" t="s">
        <v>1258</v>
      </c>
      <c r="E377" s="36" t="s">
        <v>1257</v>
      </c>
      <c r="F377" s="29" t="s">
        <v>1259</v>
      </c>
      <c r="G377" s="15"/>
      <c r="H377" s="14"/>
      <c r="I377" s="15">
        <v>376</v>
      </c>
    </row>
    <row r="378" spans="1:9">
      <c r="A378" s="19" t="s">
        <v>351</v>
      </c>
      <c r="B378" s="39"/>
      <c r="D378" s="25" t="s">
        <v>1261</v>
      </c>
      <c r="E378" s="25" t="s">
        <v>1260</v>
      </c>
      <c r="F378" s="25" t="s">
        <v>1262</v>
      </c>
      <c r="I378">
        <v>377</v>
      </c>
    </row>
    <row r="379" spans="1:9">
      <c r="A379" s="19" t="s">
        <v>351</v>
      </c>
      <c r="B379" s="39"/>
      <c r="D379" s="25" t="s">
        <v>1264</v>
      </c>
      <c r="E379" s="25" t="s">
        <v>1263</v>
      </c>
      <c r="F379" s="25" t="s">
        <v>1265</v>
      </c>
      <c r="I379">
        <v>378</v>
      </c>
    </row>
    <row r="380" spans="1:9">
      <c r="A380" s="18" t="s">
        <v>351</v>
      </c>
      <c r="B380" s="38"/>
      <c r="D380" s="28" t="s">
        <v>1267</v>
      </c>
      <c r="E380" s="27" t="s">
        <v>1266</v>
      </c>
      <c r="F380" s="28" t="s">
        <v>1268</v>
      </c>
      <c r="G380" s="12"/>
      <c r="H380" s="13"/>
      <c r="I380" s="12">
        <v>379</v>
      </c>
    </row>
    <row r="381" spans="1:9">
      <c r="A381" s="19" t="s">
        <v>351</v>
      </c>
      <c r="B381" s="37"/>
      <c r="D381" s="29" t="s">
        <v>1270</v>
      </c>
      <c r="E381" s="36" t="s">
        <v>1269</v>
      </c>
      <c r="F381" s="29" t="s">
        <v>1271</v>
      </c>
      <c r="G381" s="40"/>
      <c r="H381" s="14"/>
      <c r="I381" s="15">
        <v>380</v>
      </c>
    </row>
    <row r="382" spans="1:9">
      <c r="A382" s="19" t="s">
        <v>351</v>
      </c>
      <c r="B382" s="37"/>
      <c r="D382" s="29" t="s">
        <v>1273</v>
      </c>
      <c r="E382" s="36" t="s">
        <v>1272</v>
      </c>
      <c r="F382" s="29" t="s">
        <v>1274</v>
      </c>
      <c r="G382" s="40"/>
      <c r="H382" s="14"/>
      <c r="I382" s="15">
        <v>381</v>
      </c>
    </row>
    <row r="383" spans="1:9">
      <c r="A383" s="18" t="s">
        <v>351</v>
      </c>
      <c r="B383" s="38"/>
      <c r="D383" s="28" t="s">
        <v>1276</v>
      </c>
      <c r="E383" s="27" t="s">
        <v>1275</v>
      </c>
      <c r="F383" s="28" t="s">
        <v>1277</v>
      </c>
      <c r="G383" s="12"/>
      <c r="H383" s="13"/>
      <c r="I383" s="12">
        <v>382</v>
      </c>
    </row>
    <row r="384" spans="1:9">
      <c r="A384" s="19" t="s">
        <v>351</v>
      </c>
      <c r="B384" s="39"/>
      <c r="D384" s="25" t="s">
        <v>1279</v>
      </c>
      <c r="E384" s="25" t="s">
        <v>1278</v>
      </c>
      <c r="F384" s="25" t="s">
        <v>1280</v>
      </c>
      <c r="I384">
        <v>383</v>
      </c>
    </row>
    <row r="385" spans="1:10">
      <c r="A385" s="18" t="s">
        <v>351</v>
      </c>
      <c r="B385" s="37"/>
      <c r="D385" s="29" t="s">
        <v>1282</v>
      </c>
      <c r="E385" s="36" t="s">
        <v>1281</v>
      </c>
      <c r="F385" s="29" t="s">
        <v>1282</v>
      </c>
      <c r="G385" s="15"/>
      <c r="H385" s="14"/>
      <c r="I385" s="15">
        <v>384</v>
      </c>
    </row>
    <row r="386" spans="1:10">
      <c r="A386" s="18" t="s">
        <v>351</v>
      </c>
      <c r="B386" s="39"/>
      <c r="D386" s="25" t="s">
        <v>1284</v>
      </c>
      <c r="E386" s="25" t="s">
        <v>1283</v>
      </c>
      <c r="F386" s="25" t="s">
        <v>1284</v>
      </c>
      <c r="G386" s="40"/>
      <c r="I386">
        <v>385</v>
      </c>
    </row>
    <row r="387" spans="1:10">
      <c r="A387" s="19" t="s">
        <v>351</v>
      </c>
      <c r="B387" s="39"/>
      <c r="D387" s="25" t="s">
        <v>1286</v>
      </c>
      <c r="E387" s="25" t="s">
        <v>1285</v>
      </c>
      <c r="F387" s="25" t="s">
        <v>1286</v>
      </c>
      <c r="I387">
        <v>386</v>
      </c>
    </row>
    <row r="388" spans="1:10">
      <c r="A388" s="18" t="s">
        <v>351</v>
      </c>
      <c r="B388" s="37"/>
      <c r="D388" s="29" t="s">
        <v>1288</v>
      </c>
      <c r="E388" s="36" t="s">
        <v>1287</v>
      </c>
      <c r="F388" s="29" t="s">
        <v>1288</v>
      </c>
      <c r="G388" s="15"/>
      <c r="H388" s="14"/>
      <c r="I388" s="15">
        <v>387</v>
      </c>
    </row>
    <row r="389" spans="1:10">
      <c r="A389" s="18" t="s">
        <v>351</v>
      </c>
      <c r="B389" s="38"/>
      <c r="D389" s="28" t="s">
        <v>1290</v>
      </c>
      <c r="E389" s="27" t="s">
        <v>1289</v>
      </c>
      <c r="F389" s="28" t="s">
        <v>1291</v>
      </c>
      <c r="G389" s="40"/>
      <c r="H389" s="13"/>
      <c r="I389" s="12">
        <v>388</v>
      </c>
    </row>
    <row r="390" spans="1:10">
      <c r="A390" s="19" t="s">
        <v>351</v>
      </c>
      <c r="B390" s="39"/>
      <c r="D390" s="25" t="s">
        <v>1293</v>
      </c>
      <c r="E390" s="25" t="s">
        <v>1292</v>
      </c>
      <c r="F390" s="25" t="s">
        <v>1294</v>
      </c>
      <c r="I390">
        <v>389</v>
      </c>
    </row>
    <row r="391" spans="1:10">
      <c r="A391" s="19" t="s">
        <v>351</v>
      </c>
      <c r="B391" s="38"/>
      <c r="D391" s="28" t="s">
        <v>1296</v>
      </c>
      <c r="E391" s="27" t="s">
        <v>1295</v>
      </c>
      <c r="F391" s="28" t="s">
        <v>1297</v>
      </c>
      <c r="G391" s="12"/>
      <c r="H391" s="13"/>
      <c r="I391" s="12">
        <v>390</v>
      </c>
    </row>
    <row r="392" spans="1:10">
      <c r="A392" s="19" t="s">
        <v>351</v>
      </c>
      <c r="B392" s="37"/>
      <c r="D392" s="29" t="s">
        <v>1299</v>
      </c>
      <c r="E392" s="36" t="s">
        <v>1298</v>
      </c>
      <c r="F392" s="29" t="s">
        <v>1300</v>
      </c>
      <c r="G392" s="15"/>
      <c r="H392" s="14"/>
      <c r="I392" s="15">
        <v>391</v>
      </c>
      <c r="J392" s="15"/>
    </row>
    <row r="393" spans="1:10">
      <c r="A393" s="19" t="s">
        <v>351</v>
      </c>
      <c r="B393" s="38"/>
      <c r="D393" s="28" t="s">
        <v>1302</v>
      </c>
      <c r="E393" s="27" t="s">
        <v>1301</v>
      </c>
      <c r="F393" s="28" t="s">
        <v>1303</v>
      </c>
      <c r="G393" s="12"/>
      <c r="H393" s="13"/>
      <c r="I393" s="12">
        <v>392</v>
      </c>
      <c r="J393" s="12"/>
    </row>
    <row r="394" spans="1:10">
      <c r="A394" s="18" t="s">
        <v>351</v>
      </c>
      <c r="B394" s="39"/>
      <c r="D394" s="25" t="s">
        <v>1305</v>
      </c>
      <c r="E394" s="25" t="s">
        <v>1304</v>
      </c>
      <c r="F394" s="25" t="s">
        <v>1306</v>
      </c>
      <c r="I394">
        <v>393</v>
      </c>
    </row>
    <row r="395" spans="1:10">
      <c r="A395" s="18" t="s">
        <v>351</v>
      </c>
      <c r="B395" s="37"/>
      <c r="D395" s="29" t="s">
        <v>1308</v>
      </c>
      <c r="E395" s="36" t="s">
        <v>1307</v>
      </c>
      <c r="F395" s="29" t="s">
        <v>1309</v>
      </c>
      <c r="G395" s="15"/>
      <c r="H395" s="14"/>
      <c r="I395" s="15">
        <v>394</v>
      </c>
    </row>
    <row r="396" spans="1:10">
      <c r="A396" s="19" t="s">
        <v>351</v>
      </c>
      <c r="B396" s="39"/>
      <c r="D396" s="25" t="s">
        <v>1311</v>
      </c>
      <c r="E396" s="25" t="s">
        <v>1310</v>
      </c>
      <c r="F396" s="25" t="s">
        <v>1312</v>
      </c>
      <c r="I396">
        <v>395</v>
      </c>
    </row>
    <row r="397" spans="1:10">
      <c r="A397" s="18" t="s">
        <v>351</v>
      </c>
      <c r="B397" s="38"/>
      <c r="D397" s="28" t="s">
        <v>1314</v>
      </c>
      <c r="E397" s="27" t="s">
        <v>1313</v>
      </c>
      <c r="F397" s="28" t="s">
        <v>1315</v>
      </c>
      <c r="G397" s="40"/>
      <c r="H397" s="13"/>
      <c r="I397" s="12">
        <v>396</v>
      </c>
    </row>
    <row r="398" spans="1:10">
      <c r="A398" s="19" t="s">
        <v>351</v>
      </c>
      <c r="B398" s="38"/>
      <c r="D398" s="28" t="s">
        <v>1317</v>
      </c>
      <c r="E398" s="27" t="s">
        <v>1316</v>
      </c>
      <c r="F398" s="28" t="s">
        <v>1318</v>
      </c>
      <c r="G398" s="12"/>
      <c r="H398" s="13"/>
      <c r="I398" s="12">
        <v>397</v>
      </c>
    </row>
    <row r="399" spans="1:10">
      <c r="A399" s="18" t="s">
        <v>351</v>
      </c>
      <c r="B399" s="39"/>
      <c r="D399" s="25" t="s">
        <v>1320</v>
      </c>
      <c r="E399" s="25" t="s">
        <v>1319</v>
      </c>
      <c r="F399" s="25" t="s">
        <v>1321</v>
      </c>
      <c r="I399">
        <v>398</v>
      </c>
    </row>
    <row r="400" spans="1:10">
      <c r="A400" s="19" t="s">
        <v>351</v>
      </c>
      <c r="B400" s="37"/>
      <c r="D400" s="29" t="s">
        <v>1323</v>
      </c>
      <c r="E400" s="36" t="s">
        <v>1322</v>
      </c>
      <c r="F400" s="29" t="s">
        <v>1324</v>
      </c>
      <c r="G400" s="15"/>
      <c r="H400" s="14"/>
      <c r="I400" s="15">
        <v>399</v>
      </c>
    </row>
    <row r="401" spans="1:9">
      <c r="A401" s="19" t="s">
        <v>351</v>
      </c>
      <c r="B401" s="39"/>
      <c r="D401" s="25" t="s">
        <v>1326</v>
      </c>
      <c r="E401" s="25" t="s">
        <v>1325</v>
      </c>
      <c r="F401" s="25" t="s">
        <v>1327</v>
      </c>
      <c r="I401">
        <v>400</v>
      </c>
    </row>
    <row r="402" spans="1:9">
      <c r="A402" s="18" t="s">
        <v>351</v>
      </c>
      <c r="B402" s="38"/>
      <c r="D402" s="28" t="s">
        <v>1329</v>
      </c>
      <c r="E402" s="27" t="s">
        <v>1328</v>
      </c>
      <c r="F402" s="28" t="s">
        <v>1330</v>
      </c>
      <c r="G402" s="12"/>
      <c r="H402" s="13"/>
      <c r="I402" s="12">
        <v>401</v>
      </c>
    </row>
    <row r="403" spans="1:9">
      <c r="A403" s="18" t="s">
        <v>351</v>
      </c>
      <c r="B403" s="37"/>
      <c r="D403" s="29" t="s">
        <v>1332</v>
      </c>
      <c r="E403" s="36" t="s">
        <v>1331</v>
      </c>
      <c r="F403" s="29" t="s">
        <v>1333</v>
      </c>
      <c r="G403" s="15"/>
      <c r="H403" s="14"/>
      <c r="I403" s="15">
        <v>402</v>
      </c>
    </row>
    <row r="404" spans="1:9">
      <c r="A404" s="19" t="s">
        <v>351</v>
      </c>
      <c r="B404" s="37"/>
      <c r="D404" s="29" t="s">
        <v>1335</v>
      </c>
      <c r="E404" s="36" t="s">
        <v>1334</v>
      </c>
      <c r="F404" s="29" t="s">
        <v>1336</v>
      </c>
      <c r="G404" s="40"/>
      <c r="H404" s="14"/>
      <c r="I404" s="15">
        <v>403</v>
      </c>
    </row>
    <row r="405" spans="1:9">
      <c r="A405" s="18" t="s">
        <v>351</v>
      </c>
      <c r="B405" s="37"/>
      <c r="D405" s="29" t="s">
        <v>1338</v>
      </c>
      <c r="E405" s="36" t="s">
        <v>1337</v>
      </c>
      <c r="F405" s="29" t="s">
        <v>1339</v>
      </c>
      <c r="G405" s="15"/>
      <c r="H405" s="14"/>
      <c r="I405" s="15">
        <v>404</v>
      </c>
    </row>
    <row r="406" spans="1:9">
      <c r="A406" s="18" t="s">
        <v>351</v>
      </c>
      <c r="B406" s="39"/>
      <c r="D406" s="25" t="s">
        <v>1341</v>
      </c>
      <c r="E406" s="25" t="s">
        <v>1340</v>
      </c>
      <c r="F406" s="25" t="s">
        <v>1341</v>
      </c>
      <c r="G406" s="40"/>
      <c r="I406">
        <v>405</v>
      </c>
    </row>
    <row r="407" spans="1:9">
      <c r="A407" s="19" t="s">
        <v>351</v>
      </c>
      <c r="B407" s="37"/>
      <c r="D407" s="29" t="s">
        <v>1343</v>
      </c>
      <c r="E407" s="36" t="s">
        <v>1342</v>
      </c>
      <c r="F407" s="29" t="s">
        <v>1343</v>
      </c>
      <c r="G407" s="15"/>
      <c r="H407" s="14"/>
      <c r="I407" s="15">
        <v>406</v>
      </c>
    </row>
    <row r="408" spans="1:9">
      <c r="A408" s="18" t="s">
        <v>351</v>
      </c>
      <c r="B408" s="38"/>
      <c r="D408" s="28" t="s">
        <v>1345</v>
      </c>
      <c r="E408" s="27" t="s">
        <v>1344</v>
      </c>
      <c r="F408" s="28" t="s">
        <v>1346</v>
      </c>
      <c r="G408" s="12"/>
      <c r="H408" s="13"/>
      <c r="I408" s="12">
        <v>407</v>
      </c>
    </row>
    <row r="409" spans="1:9">
      <c r="A409" s="19" t="s">
        <v>351</v>
      </c>
      <c r="B409" s="37"/>
      <c r="D409" s="29" t="s">
        <v>1348</v>
      </c>
      <c r="E409" s="36" t="s">
        <v>1347</v>
      </c>
      <c r="F409" s="29" t="s">
        <v>1349</v>
      </c>
      <c r="G409" s="15"/>
      <c r="H409" s="14"/>
      <c r="I409" s="15">
        <v>408</v>
      </c>
    </row>
    <row r="410" spans="1:9">
      <c r="A410" s="18" t="s">
        <v>351</v>
      </c>
      <c r="B410" s="37"/>
      <c r="D410" s="29" t="s">
        <v>1351</v>
      </c>
      <c r="E410" s="36" t="s">
        <v>1350</v>
      </c>
      <c r="F410" s="29" t="s">
        <v>1352</v>
      </c>
      <c r="G410" s="15"/>
      <c r="H410" s="14"/>
      <c r="I410" s="15">
        <v>409</v>
      </c>
    </row>
    <row r="411" spans="1:9">
      <c r="A411" s="19" t="s">
        <v>351</v>
      </c>
      <c r="B411" s="37"/>
      <c r="D411" s="29" t="s">
        <v>1354</v>
      </c>
      <c r="E411" s="36" t="s">
        <v>1353</v>
      </c>
      <c r="F411" s="29" t="s">
        <v>1355</v>
      </c>
      <c r="G411" s="15"/>
      <c r="H411" s="14"/>
      <c r="I411" s="15">
        <v>410</v>
      </c>
    </row>
    <row r="412" spans="1:9">
      <c r="A412" s="19" t="s">
        <v>351</v>
      </c>
      <c r="B412" s="39"/>
      <c r="D412" s="25" t="s">
        <v>1357</v>
      </c>
      <c r="E412" s="25" t="s">
        <v>1356</v>
      </c>
      <c r="F412" s="25" t="s">
        <v>1358</v>
      </c>
      <c r="I412">
        <v>411</v>
      </c>
    </row>
    <row r="413" spans="1:9">
      <c r="A413" s="19" t="s">
        <v>351</v>
      </c>
      <c r="B413" s="38"/>
      <c r="D413" s="28" t="s">
        <v>1360</v>
      </c>
      <c r="E413" s="27" t="s">
        <v>1359</v>
      </c>
      <c r="F413" s="28" t="s">
        <v>1361</v>
      </c>
      <c r="G413" s="12"/>
      <c r="H413" s="13"/>
      <c r="I413" s="12">
        <v>412</v>
      </c>
    </row>
    <row r="414" spans="1:9">
      <c r="A414" s="19" t="s">
        <v>351</v>
      </c>
      <c r="B414" s="38"/>
      <c r="D414" s="28" t="s">
        <v>1363</v>
      </c>
      <c r="E414" s="27" t="s">
        <v>1362</v>
      </c>
      <c r="F414" s="28" t="s">
        <v>1364</v>
      </c>
      <c r="G414" s="12"/>
      <c r="H414" s="13"/>
      <c r="I414" s="12">
        <v>413</v>
      </c>
    </row>
    <row r="415" spans="1:9">
      <c r="A415" s="18" t="s">
        <v>351</v>
      </c>
      <c r="B415" s="38"/>
      <c r="D415" s="28" t="s">
        <v>1366</v>
      </c>
      <c r="E415" s="27" t="s">
        <v>1365</v>
      </c>
      <c r="F415" s="28" t="s">
        <v>1367</v>
      </c>
      <c r="G415" s="40"/>
      <c r="H415" s="13"/>
      <c r="I415" s="12">
        <v>414</v>
      </c>
    </row>
    <row r="416" spans="1:9">
      <c r="A416" s="18" t="s">
        <v>351</v>
      </c>
      <c r="B416" s="37"/>
      <c r="D416" s="29" t="s">
        <v>1369</v>
      </c>
      <c r="E416" s="36" t="s">
        <v>1368</v>
      </c>
      <c r="F416" s="29" t="s">
        <v>1370</v>
      </c>
      <c r="G416" s="15"/>
      <c r="H416" s="14"/>
      <c r="I416" s="15">
        <v>415</v>
      </c>
    </row>
    <row r="417" spans="1:9">
      <c r="A417" s="19" t="s">
        <v>351</v>
      </c>
      <c r="B417" s="39"/>
      <c r="D417" s="25" t="s">
        <v>1372</v>
      </c>
      <c r="E417" s="25" t="s">
        <v>1371</v>
      </c>
      <c r="F417" s="25" t="s">
        <v>1373</v>
      </c>
      <c r="I417">
        <v>416</v>
      </c>
    </row>
    <row r="418" spans="1:9">
      <c r="A418" s="18" t="s">
        <v>351</v>
      </c>
      <c r="B418" s="39"/>
      <c r="D418" s="25" t="s">
        <v>1375</v>
      </c>
      <c r="E418" s="25" t="s">
        <v>1374</v>
      </c>
      <c r="F418" s="25" t="s">
        <v>1376</v>
      </c>
      <c r="I418">
        <v>417</v>
      </c>
    </row>
    <row r="419" spans="1:9">
      <c r="A419" s="19" t="s">
        <v>351</v>
      </c>
      <c r="B419" s="37"/>
      <c r="D419" s="29" t="s">
        <v>1378</v>
      </c>
      <c r="E419" s="36" t="s">
        <v>1377</v>
      </c>
      <c r="F419" s="29" t="s">
        <v>1378</v>
      </c>
      <c r="G419" s="40"/>
      <c r="H419" s="14"/>
      <c r="I419" s="15">
        <v>418</v>
      </c>
    </row>
    <row r="420" spans="1:9">
      <c r="A420" s="19" t="s">
        <v>351</v>
      </c>
      <c r="B420" s="37"/>
      <c r="D420" s="29" t="s">
        <v>1380</v>
      </c>
      <c r="E420" s="36" t="s">
        <v>1379</v>
      </c>
      <c r="F420" s="29" t="s">
        <v>1380</v>
      </c>
      <c r="G420" s="15"/>
      <c r="H420" s="14"/>
      <c r="I420" s="15">
        <v>419</v>
      </c>
    </row>
  </sheetData>
  <sheetProtection formatCells="0" formatColumns="0" formatRows="0" insertColumns="0" insertRows="0" insertHyperlinks="0" deleteColumns="0" deleteRows="0" sort="0" autoFilter="0" pivotTables="0"/>
  <autoFilter ref="C1:J420" xr:uid="{00000000-0001-0000-0000-000000000000}">
    <sortState xmlns:xlrd2="http://schemas.microsoft.com/office/spreadsheetml/2017/richdata2" ref="C2:J420">
      <sortCondition ref="I1:I420"/>
    </sortState>
  </autoFilter>
  <sortState xmlns:xlrd2="http://schemas.microsoft.com/office/spreadsheetml/2017/richdata2" ref="C2:K370">
    <sortCondition ref="D1:D370"/>
  </sortState>
  <phoneticPr fontId="3" type="noConversion"/>
  <conditionalFormatting sqref="D2:D420">
    <cfRule type="duplicateValues" dxfId="17" priority="44"/>
  </conditionalFormatting>
  <conditionalFormatting sqref="D421:D1048576 D1">
    <cfRule type="duplicateValues" dxfId="16" priority="102"/>
  </conditionalFormatting>
  <conditionalFormatting sqref="E1">
    <cfRule type="duplicateValues" dxfId="15" priority="199"/>
  </conditionalFormatting>
  <conditionalFormatting sqref="E2:E420">
    <cfRule type="duplicateValues" dxfId="14" priority="5"/>
    <cfRule type="duplicateValues" dxfId="13" priority="28"/>
    <cfRule type="duplicateValues" dxfId="12" priority="45"/>
  </conditionalFormatting>
  <conditionalFormatting sqref="F1">
    <cfRule type="duplicateValues" dxfId="11" priority="104"/>
  </conditionalFormatting>
  <conditionalFormatting sqref="F2:F420">
    <cfRule type="duplicateValues" dxfId="10" priority="6"/>
  </conditionalFormatting>
  <conditionalFormatting sqref="F3">
    <cfRule type="duplicateValues" dxfId="9" priority="25"/>
  </conditionalFormatting>
  <conditionalFormatting sqref="F6 F9 F12 F15 F18">
    <cfRule type="duplicateValues" dxfId="8" priority="3"/>
  </conditionalFormatting>
  <conditionalFormatting sqref="F21 F39 F57 F75 F93 F111 F129 F147 F165 F183 F201 F219 F237 F255 F273 F291 F309 F327 F345 F363 F381 F399 F417">
    <cfRule type="duplicateValues" dxfId="7" priority="2"/>
  </conditionalFormatting>
  <conditionalFormatting sqref="F24 F42 F60 F78 F96 F114 F132 F150 F168 F186 F204 F222 F240 F258 F276 F294 F312 F330 F348 F366 F384 F402 F420 F27 F45 F63 F81 F99 F117 F135 F153 F171 F189 F207 F225 F243 F261 F279 F297 F315 F333 F351 F369 F387 F405 F30 F48 F66 F84 F102 F120 F138 F156 F174 F192 F210 F228 F246 F264 F282 F300 F318 F336 F354 F372 F390 F408 F33 F51 F69 F87 F105 F123 F141 F159 F177 F195 F213 F231 F249 F267 F285 F303 F321 F339 F357 F375 F393 F411 F36 F54 F72 F90 F108 F126 F144 F162 F180 F198 F216 F234 F252 F270 F288 F306 F324 F342 F360 F378 F396 F414">
    <cfRule type="duplicateValues" dxfId="6" priority="1"/>
  </conditionalFormatting>
  <conditionalFormatting sqref="G1:J1 A1:C1">
    <cfRule type="duplicateValues" dxfId="5" priority="201"/>
  </conditionalFormatting>
  <hyperlinks>
    <hyperlink ref="K117" r:id="rId1" xr:uid="{00000000-0004-0000-0000-000000000000}"/>
    <hyperlink ref="K120" r:id="rId2" xr:uid="{00000000-0004-0000-0000-000001000000}"/>
    <hyperlink ref="K283"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8"/>
  <sheetViews>
    <sheetView zoomScale="130" zoomScaleNormal="130" workbookViewId="0">
      <selection activeCell="H1" sqref="G1:H1"/>
    </sheetView>
  </sheetViews>
  <sheetFormatPr baseColWidth="10" defaultColWidth="9" defaultRowHeight="14"/>
  <cols>
    <col min="1" max="1" width="15.6640625" style="2" customWidth="1"/>
    <col min="2" max="3" width="31.83203125" style="3" customWidth="1"/>
    <col min="4" max="4" width="32.1640625" style="3" customWidth="1"/>
    <col min="5" max="6" width="8.83203125" customWidth="1"/>
    <col min="7" max="7" width="9.6640625" style="35" customWidth="1"/>
    <col min="8" max="8" width="14" customWidth="1"/>
    <col min="9" max="9" width="12" style="4" customWidth="1"/>
  </cols>
  <sheetData>
    <row r="1" spans="1:11">
      <c r="A1" s="5" t="s">
        <v>0</v>
      </c>
      <c r="B1" s="5" t="s">
        <v>1</v>
      </c>
      <c r="C1" s="5" t="s">
        <v>2</v>
      </c>
      <c r="D1" s="5" t="s">
        <v>830</v>
      </c>
      <c r="E1" s="5" t="s">
        <v>5</v>
      </c>
      <c r="F1" s="5" t="s">
        <v>1009</v>
      </c>
      <c r="G1" s="30" t="s">
        <v>6</v>
      </c>
      <c r="H1" s="5" t="s">
        <v>3</v>
      </c>
      <c r="I1" s="6" t="s">
        <v>4</v>
      </c>
    </row>
    <row r="2" spans="1:11" s="1" customFormat="1">
      <c r="A2" s="7" t="s">
        <v>831</v>
      </c>
      <c r="B2" s="20" t="s">
        <v>832</v>
      </c>
      <c r="C2" s="20" t="s">
        <v>832</v>
      </c>
      <c r="D2" s="20" t="s">
        <v>833</v>
      </c>
      <c r="E2" s="12">
        <v>244.9</v>
      </c>
      <c r="F2" s="12" t="s">
        <v>9</v>
      </c>
      <c r="G2" s="31" t="s">
        <v>351</v>
      </c>
      <c r="H2" s="16">
        <v>45778</v>
      </c>
      <c r="I2" s="13"/>
    </row>
    <row r="3" spans="1:11">
      <c r="A3" s="8" t="s">
        <v>834</v>
      </c>
      <c r="B3" s="8" t="s">
        <v>835</v>
      </c>
      <c r="C3" s="8" t="s">
        <v>836</v>
      </c>
      <c r="D3" s="8" t="s">
        <v>837</v>
      </c>
      <c r="E3" t="s">
        <v>9</v>
      </c>
      <c r="F3" t="s">
        <v>9</v>
      </c>
      <c r="G3" s="1" t="s">
        <v>10</v>
      </c>
      <c r="H3" s="16"/>
    </row>
    <row r="4" spans="1:11">
      <c r="A4" s="8" t="s">
        <v>838</v>
      </c>
      <c r="B4" s="22" t="s">
        <v>839</v>
      </c>
      <c r="C4" s="22" t="s">
        <v>839</v>
      </c>
      <c r="D4" s="22" t="s">
        <v>840</v>
      </c>
      <c r="E4" s="15" t="s">
        <v>9</v>
      </c>
      <c r="F4" s="15" t="s">
        <v>9</v>
      </c>
      <c r="G4" s="23" t="s">
        <v>10</v>
      </c>
      <c r="H4" s="16"/>
      <c r="I4" s="14">
        <f>H4+1825</f>
        <v>1825</v>
      </c>
    </row>
    <row r="5" spans="1:11">
      <c r="A5" s="8" t="s">
        <v>841</v>
      </c>
      <c r="B5" s="20" t="s">
        <v>842</v>
      </c>
      <c r="C5" s="20" t="s">
        <v>843</v>
      </c>
      <c r="D5" s="20" t="s">
        <v>844</v>
      </c>
      <c r="E5" s="12">
        <v>580</v>
      </c>
      <c r="F5" s="12">
        <v>479</v>
      </c>
      <c r="G5" s="32" t="s">
        <v>1223</v>
      </c>
      <c r="H5" s="16">
        <v>45627</v>
      </c>
      <c r="I5" s="13">
        <f>H5+1095</f>
        <v>46722</v>
      </c>
      <c r="J5" s="9" t="s">
        <v>845</v>
      </c>
      <c r="K5" s="10" t="s">
        <v>846</v>
      </c>
    </row>
    <row r="6" spans="1:11">
      <c r="A6" s="8" t="s">
        <v>847</v>
      </c>
      <c r="B6" s="8" t="s">
        <v>848</v>
      </c>
      <c r="C6" s="8" t="s">
        <v>848</v>
      </c>
      <c r="D6" s="8" t="s">
        <v>849</v>
      </c>
      <c r="E6">
        <v>899</v>
      </c>
      <c r="F6">
        <v>899</v>
      </c>
      <c r="G6" s="33" t="s">
        <v>51</v>
      </c>
      <c r="H6" s="16">
        <v>45658</v>
      </c>
      <c r="I6" s="4">
        <f t="shared" ref="I6:I47" si="0">H6+1095</f>
        <v>46753</v>
      </c>
    </row>
    <row r="7" spans="1:11">
      <c r="A7" s="8" t="s">
        <v>850</v>
      </c>
      <c r="B7" s="22" t="s">
        <v>851</v>
      </c>
      <c r="C7" s="22" t="s">
        <v>852</v>
      </c>
      <c r="D7" s="22" t="s">
        <v>853</v>
      </c>
      <c r="E7">
        <v>3040.05</v>
      </c>
      <c r="F7" s="15">
        <v>3799</v>
      </c>
      <c r="G7" s="34" t="s">
        <v>351</v>
      </c>
      <c r="H7" s="24">
        <v>45474</v>
      </c>
      <c r="I7" s="14">
        <f t="shared" si="0"/>
        <v>46569</v>
      </c>
    </row>
    <row r="8" spans="1:11">
      <c r="A8" s="8" t="s">
        <v>854</v>
      </c>
      <c r="B8" s="20" t="s">
        <v>855</v>
      </c>
      <c r="C8" s="20" t="s">
        <v>856</v>
      </c>
      <c r="D8" s="20" t="s">
        <v>857</v>
      </c>
      <c r="E8">
        <v>999</v>
      </c>
      <c r="F8" s="12">
        <v>901</v>
      </c>
      <c r="G8" s="31" t="s">
        <v>51</v>
      </c>
      <c r="H8" s="24">
        <v>45627</v>
      </c>
      <c r="I8" s="13">
        <f t="shared" si="0"/>
        <v>46722</v>
      </c>
      <c r="J8" s="9" t="s">
        <v>858</v>
      </c>
    </row>
    <row r="9" spans="1:11">
      <c r="A9" s="8" t="s">
        <v>859</v>
      </c>
      <c r="B9" s="8" t="s">
        <v>860</v>
      </c>
      <c r="C9" s="8" t="s">
        <v>861</v>
      </c>
      <c r="D9" s="8" t="s">
        <v>862</v>
      </c>
      <c r="E9" t="s">
        <v>1224</v>
      </c>
      <c r="F9">
        <v>799</v>
      </c>
      <c r="G9" s="33" t="s">
        <v>51</v>
      </c>
      <c r="H9" s="16">
        <v>45627</v>
      </c>
      <c r="I9" s="4">
        <f t="shared" si="0"/>
        <v>46722</v>
      </c>
    </row>
    <row r="10" spans="1:11">
      <c r="A10" s="8" t="s">
        <v>863</v>
      </c>
      <c r="B10" s="22" t="s">
        <v>864</v>
      </c>
      <c r="C10" s="22" t="s">
        <v>865</v>
      </c>
      <c r="D10" s="22" t="s">
        <v>857</v>
      </c>
      <c r="E10" t="s">
        <v>9</v>
      </c>
      <c r="F10" s="15" t="s">
        <v>9</v>
      </c>
      <c r="G10" s="23" t="s">
        <v>10</v>
      </c>
      <c r="H10" s="17"/>
      <c r="I10" s="14">
        <f t="shared" si="0"/>
        <v>1095</v>
      </c>
    </row>
    <row r="11" spans="1:11">
      <c r="A11" s="8" t="s">
        <v>866</v>
      </c>
      <c r="B11" s="20" t="s">
        <v>867</v>
      </c>
      <c r="C11" s="20" t="s">
        <v>868</v>
      </c>
      <c r="D11" s="20" t="s">
        <v>869</v>
      </c>
      <c r="E11">
        <v>899.19</v>
      </c>
      <c r="F11" s="12">
        <v>999</v>
      </c>
      <c r="G11" s="31" t="s">
        <v>351</v>
      </c>
      <c r="H11" s="24"/>
      <c r="I11" s="13">
        <f t="shared" si="0"/>
        <v>1095</v>
      </c>
    </row>
    <row r="12" spans="1:11">
      <c r="A12" s="8" t="s">
        <v>870</v>
      </c>
      <c r="B12" s="8" t="s">
        <v>871</v>
      </c>
      <c r="C12" s="8" t="s">
        <v>872</v>
      </c>
      <c r="D12" s="8" t="s">
        <v>857</v>
      </c>
      <c r="E12" t="s">
        <v>9</v>
      </c>
      <c r="F12" t="s">
        <v>9</v>
      </c>
      <c r="G12" s="1" t="s">
        <v>10</v>
      </c>
      <c r="H12" s="16"/>
      <c r="I12" s="4">
        <f t="shared" si="0"/>
        <v>1095</v>
      </c>
    </row>
    <row r="13" spans="1:11">
      <c r="A13" s="8" t="s">
        <v>873</v>
      </c>
      <c r="B13" s="22" t="s">
        <v>874</v>
      </c>
      <c r="C13" s="22" t="s">
        <v>875</v>
      </c>
      <c r="D13" s="22" t="s">
        <v>876</v>
      </c>
      <c r="E13" t="s">
        <v>1225</v>
      </c>
      <c r="F13" s="15">
        <v>531</v>
      </c>
      <c r="G13" s="34" t="s">
        <v>351</v>
      </c>
      <c r="H13" s="24">
        <v>45870</v>
      </c>
      <c r="I13" s="14">
        <f t="shared" si="0"/>
        <v>46965</v>
      </c>
    </row>
    <row r="14" spans="1:11">
      <c r="A14" s="8" t="s">
        <v>877</v>
      </c>
      <c r="B14" s="20" t="s">
        <v>878</v>
      </c>
      <c r="C14" s="20" t="s">
        <v>879</v>
      </c>
      <c r="D14" s="20" t="s">
        <v>880</v>
      </c>
      <c r="E14">
        <v>632</v>
      </c>
      <c r="F14" s="12">
        <v>590</v>
      </c>
      <c r="G14" s="31" t="s">
        <v>51</v>
      </c>
      <c r="H14" s="24">
        <v>45748</v>
      </c>
      <c r="I14" s="13">
        <f t="shared" si="0"/>
        <v>46843</v>
      </c>
    </row>
    <row r="15" spans="1:11">
      <c r="A15" s="8" t="s">
        <v>881</v>
      </c>
      <c r="B15" s="8" t="s">
        <v>882</v>
      </c>
      <c r="C15" s="8" t="s">
        <v>883</v>
      </c>
      <c r="D15" s="8" t="s">
        <v>884</v>
      </c>
      <c r="E15">
        <v>2888</v>
      </c>
      <c r="F15">
        <v>2403</v>
      </c>
      <c r="G15" s="33" t="s">
        <v>51</v>
      </c>
      <c r="H15" s="16">
        <v>45444</v>
      </c>
      <c r="I15" s="4">
        <f t="shared" si="0"/>
        <v>46539</v>
      </c>
    </row>
    <row r="16" spans="1:11">
      <c r="A16" s="8" t="s">
        <v>885</v>
      </c>
      <c r="B16" s="22" t="s">
        <v>886</v>
      </c>
      <c r="C16" s="22" t="s">
        <v>887</v>
      </c>
      <c r="D16" s="22" t="s">
        <v>888</v>
      </c>
      <c r="E16" t="s">
        <v>9</v>
      </c>
      <c r="F16" s="15" t="s">
        <v>9</v>
      </c>
      <c r="G16" s="23" t="s">
        <v>10</v>
      </c>
      <c r="H16" s="17"/>
      <c r="I16" s="14">
        <f t="shared" si="0"/>
        <v>1095</v>
      </c>
    </row>
    <row r="17" spans="1:9">
      <c r="A17" s="8" t="s">
        <v>889</v>
      </c>
      <c r="B17" s="20" t="s">
        <v>890</v>
      </c>
      <c r="C17" s="20" t="s">
        <v>891</v>
      </c>
      <c r="D17" s="20" t="s">
        <v>892</v>
      </c>
      <c r="E17" t="s">
        <v>9</v>
      </c>
      <c r="F17" s="12" t="s">
        <v>9</v>
      </c>
      <c r="G17" s="21" t="s">
        <v>10</v>
      </c>
      <c r="H17" s="24"/>
      <c r="I17" s="13">
        <f t="shared" si="0"/>
        <v>1095</v>
      </c>
    </row>
    <row r="18" spans="1:9">
      <c r="A18" s="8" t="s">
        <v>893</v>
      </c>
      <c r="B18" s="8" t="s">
        <v>894</v>
      </c>
      <c r="C18" s="8" t="s">
        <v>895</v>
      </c>
      <c r="D18" s="8" t="s">
        <v>896</v>
      </c>
      <c r="E18" t="s">
        <v>9</v>
      </c>
      <c r="F18" t="s">
        <v>9</v>
      </c>
      <c r="G18" s="1" t="s">
        <v>10</v>
      </c>
      <c r="H18" s="16"/>
      <c r="I18" s="4">
        <f t="shared" si="0"/>
        <v>1095</v>
      </c>
    </row>
    <row r="19" spans="1:9">
      <c r="A19" s="8" t="s">
        <v>897</v>
      </c>
      <c r="B19" s="22" t="s">
        <v>898</v>
      </c>
      <c r="C19" s="22" t="s">
        <v>899</v>
      </c>
      <c r="D19" s="22" t="s">
        <v>900</v>
      </c>
      <c r="E19" t="s">
        <v>9</v>
      </c>
      <c r="F19" s="15" t="s">
        <v>9</v>
      </c>
      <c r="G19" s="23" t="s">
        <v>10</v>
      </c>
      <c r="H19" s="17"/>
      <c r="I19" s="14">
        <f t="shared" si="0"/>
        <v>1095</v>
      </c>
    </row>
    <row r="20" spans="1:9">
      <c r="A20" s="8" t="s">
        <v>901</v>
      </c>
      <c r="B20" s="20" t="s">
        <v>902</v>
      </c>
      <c r="C20" s="20" t="s">
        <v>903</v>
      </c>
      <c r="D20" s="20" t="s">
        <v>904</v>
      </c>
      <c r="E20" t="s">
        <v>9</v>
      </c>
      <c r="F20" s="12" t="s">
        <v>9</v>
      </c>
      <c r="G20" s="21" t="s">
        <v>10</v>
      </c>
      <c r="H20" s="24"/>
      <c r="I20" s="13">
        <f t="shared" si="0"/>
        <v>1095</v>
      </c>
    </row>
    <row r="21" spans="1:9">
      <c r="A21" s="8" t="s">
        <v>905</v>
      </c>
      <c r="B21" s="8" t="s">
        <v>906</v>
      </c>
      <c r="C21" s="8" t="s">
        <v>907</v>
      </c>
      <c r="D21" s="8" t="s">
        <v>908</v>
      </c>
      <c r="E21" t="s">
        <v>9</v>
      </c>
      <c r="F21" t="s">
        <v>9</v>
      </c>
      <c r="G21" s="1" t="s">
        <v>10</v>
      </c>
      <c r="H21" s="16"/>
      <c r="I21" s="4">
        <f t="shared" si="0"/>
        <v>1095</v>
      </c>
    </row>
    <row r="22" spans="1:9">
      <c r="A22" s="8" t="s">
        <v>909</v>
      </c>
      <c r="B22" s="22" t="s">
        <v>910</v>
      </c>
      <c r="C22" s="22" t="s">
        <v>911</v>
      </c>
      <c r="D22" s="22" t="s">
        <v>912</v>
      </c>
      <c r="E22" t="s">
        <v>9</v>
      </c>
      <c r="F22" s="15" t="s">
        <v>9</v>
      </c>
      <c r="G22" s="23" t="s">
        <v>10</v>
      </c>
      <c r="H22" s="17"/>
      <c r="I22" s="14">
        <f t="shared" si="0"/>
        <v>1095</v>
      </c>
    </row>
    <row r="23" spans="1:9">
      <c r="A23" s="8" t="s">
        <v>913</v>
      </c>
      <c r="B23" s="20" t="s">
        <v>914</v>
      </c>
      <c r="C23" s="20" t="s">
        <v>915</v>
      </c>
      <c r="D23" s="20" t="s">
        <v>912</v>
      </c>
      <c r="E23" t="s">
        <v>9</v>
      </c>
      <c r="F23" s="12" t="s">
        <v>9</v>
      </c>
      <c r="G23" s="21" t="s">
        <v>10</v>
      </c>
      <c r="H23" s="24"/>
      <c r="I23" s="13">
        <f t="shared" si="0"/>
        <v>1095</v>
      </c>
    </row>
    <row r="24" spans="1:9">
      <c r="A24" s="8" t="s">
        <v>916</v>
      </c>
      <c r="B24" s="8" t="s">
        <v>917</v>
      </c>
      <c r="C24" s="8" t="s">
        <v>917</v>
      </c>
      <c r="D24" s="8" t="s">
        <v>918</v>
      </c>
      <c r="E24">
        <v>1533</v>
      </c>
      <c r="F24">
        <v>1999</v>
      </c>
      <c r="G24" s="33" t="s">
        <v>351</v>
      </c>
      <c r="H24" s="16">
        <v>45566</v>
      </c>
      <c r="I24" s="4">
        <f t="shared" si="0"/>
        <v>46661</v>
      </c>
    </row>
    <row r="25" spans="1:9">
      <c r="A25" s="8" t="s">
        <v>919</v>
      </c>
      <c r="B25" s="22" t="s">
        <v>920</v>
      </c>
      <c r="C25" s="22" t="s">
        <v>921</v>
      </c>
      <c r="D25" s="22" t="s">
        <v>922</v>
      </c>
      <c r="E25" t="s">
        <v>9</v>
      </c>
      <c r="F25" s="15" t="s">
        <v>9</v>
      </c>
      <c r="G25" s="23" t="s">
        <v>10</v>
      </c>
      <c r="H25" s="17"/>
      <c r="I25" s="14">
        <f t="shared" si="0"/>
        <v>1095</v>
      </c>
    </row>
    <row r="26" spans="1:9">
      <c r="A26" s="8" t="s">
        <v>923</v>
      </c>
      <c r="B26" s="20" t="s">
        <v>924</v>
      </c>
      <c r="C26" s="20" t="s">
        <v>925</v>
      </c>
      <c r="D26" s="20" t="s">
        <v>926</v>
      </c>
      <c r="E26" t="s">
        <v>9</v>
      </c>
      <c r="F26" s="12" t="s">
        <v>9</v>
      </c>
      <c r="G26" s="21" t="s">
        <v>10</v>
      </c>
      <c r="H26" s="24"/>
      <c r="I26" s="13">
        <f t="shared" si="0"/>
        <v>1095</v>
      </c>
    </row>
    <row r="27" spans="1:9">
      <c r="A27" s="8" t="s">
        <v>927</v>
      </c>
      <c r="B27" s="8" t="s">
        <v>928</v>
      </c>
      <c r="C27" s="8" t="s">
        <v>928</v>
      </c>
      <c r="D27" s="8" t="s">
        <v>929</v>
      </c>
      <c r="E27" t="s">
        <v>9</v>
      </c>
      <c r="F27" t="s">
        <v>9</v>
      </c>
      <c r="G27" s="1" t="s">
        <v>10</v>
      </c>
      <c r="H27" s="16"/>
      <c r="I27" s="4">
        <f t="shared" si="0"/>
        <v>1095</v>
      </c>
    </row>
    <row r="28" spans="1:9">
      <c r="A28" s="8" t="s">
        <v>930</v>
      </c>
      <c r="B28" s="22" t="s">
        <v>931</v>
      </c>
      <c r="C28" s="22" t="s">
        <v>931</v>
      </c>
      <c r="D28" s="22" t="s">
        <v>932</v>
      </c>
      <c r="E28" t="s">
        <v>9</v>
      </c>
      <c r="F28" s="15" t="s">
        <v>9</v>
      </c>
      <c r="G28" s="23" t="s">
        <v>10</v>
      </c>
      <c r="H28" s="17"/>
      <c r="I28" s="14">
        <f t="shared" si="0"/>
        <v>1095</v>
      </c>
    </row>
    <row r="29" spans="1:9">
      <c r="A29" s="8" t="s">
        <v>933</v>
      </c>
      <c r="B29" s="20" t="s">
        <v>934</v>
      </c>
      <c r="C29" s="20" t="s">
        <v>935</v>
      </c>
      <c r="D29" s="20" t="s">
        <v>936</v>
      </c>
      <c r="E29" t="s">
        <v>9</v>
      </c>
      <c r="F29" s="12" t="s">
        <v>9</v>
      </c>
      <c r="G29" s="21" t="s">
        <v>10</v>
      </c>
      <c r="H29" s="24"/>
      <c r="I29" s="13">
        <f t="shared" si="0"/>
        <v>1095</v>
      </c>
    </row>
    <row r="30" spans="1:9">
      <c r="A30" s="8" t="s">
        <v>937</v>
      </c>
      <c r="B30" s="8" t="s">
        <v>938</v>
      </c>
      <c r="C30" s="8" t="s">
        <v>938</v>
      </c>
      <c r="D30" s="8" t="s">
        <v>939</v>
      </c>
      <c r="E30">
        <v>284</v>
      </c>
      <c r="F30">
        <v>203</v>
      </c>
      <c r="G30" s="33" t="s">
        <v>51</v>
      </c>
      <c r="H30" s="16">
        <v>45717</v>
      </c>
      <c r="I30" s="4">
        <f t="shared" si="0"/>
        <v>46812</v>
      </c>
    </row>
    <row r="31" spans="1:9">
      <c r="A31" s="8" t="s">
        <v>940</v>
      </c>
      <c r="B31" s="22" t="s">
        <v>941</v>
      </c>
      <c r="C31" s="22" t="s">
        <v>942</v>
      </c>
      <c r="D31" s="22" t="s">
        <v>1226</v>
      </c>
      <c r="E31">
        <v>599</v>
      </c>
      <c r="F31" s="15">
        <v>629</v>
      </c>
      <c r="G31" s="34" t="s">
        <v>351</v>
      </c>
      <c r="H31" s="17">
        <v>45474</v>
      </c>
      <c r="I31" s="14">
        <f t="shared" si="0"/>
        <v>46569</v>
      </c>
    </row>
    <row r="32" spans="1:9">
      <c r="A32" s="8" t="s">
        <v>943</v>
      </c>
      <c r="B32" s="20" t="s">
        <v>944</v>
      </c>
      <c r="C32" s="20" t="s">
        <v>944</v>
      </c>
      <c r="D32" s="20" t="s">
        <v>945</v>
      </c>
      <c r="E32" t="s">
        <v>9</v>
      </c>
      <c r="F32" s="12" t="s">
        <v>9</v>
      </c>
      <c r="G32" s="21" t="s">
        <v>10</v>
      </c>
      <c r="H32" s="24"/>
      <c r="I32" s="13">
        <f t="shared" si="0"/>
        <v>1095</v>
      </c>
    </row>
    <row r="33" spans="1:10">
      <c r="A33" s="8" t="s">
        <v>946</v>
      </c>
      <c r="B33" s="8" t="s">
        <v>947</v>
      </c>
      <c r="C33" s="8" t="s">
        <v>947</v>
      </c>
      <c r="D33" s="8" t="s">
        <v>948</v>
      </c>
      <c r="E33" t="s">
        <v>9</v>
      </c>
      <c r="F33" t="s">
        <v>9</v>
      </c>
      <c r="G33" s="1" t="s">
        <v>10</v>
      </c>
      <c r="H33" s="16"/>
      <c r="I33" s="4">
        <f t="shared" si="0"/>
        <v>1095</v>
      </c>
    </row>
    <row r="34" spans="1:10">
      <c r="A34" s="8" t="s">
        <v>949</v>
      </c>
      <c r="B34" s="22" t="s">
        <v>950</v>
      </c>
      <c r="C34" s="22" t="s">
        <v>951</v>
      </c>
      <c r="D34" s="22" t="s">
        <v>952</v>
      </c>
      <c r="E34" t="s">
        <v>9</v>
      </c>
      <c r="F34" s="15">
        <v>258.39999999999998</v>
      </c>
      <c r="G34" s="34"/>
      <c r="H34" s="17">
        <v>45658</v>
      </c>
      <c r="I34" s="14">
        <f t="shared" si="0"/>
        <v>46753</v>
      </c>
    </row>
    <row r="35" spans="1:10">
      <c r="A35" s="8" t="s">
        <v>953</v>
      </c>
      <c r="B35" s="20" t="s">
        <v>954</v>
      </c>
      <c r="C35" s="20" t="s">
        <v>955</v>
      </c>
      <c r="D35" s="20" t="s">
        <v>956</v>
      </c>
      <c r="E35">
        <v>332</v>
      </c>
      <c r="F35" s="12">
        <v>309</v>
      </c>
      <c r="G35" s="31" t="s">
        <v>51</v>
      </c>
      <c r="H35" s="24">
        <v>45658</v>
      </c>
      <c r="I35" s="13">
        <f t="shared" si="0"/>
        <v>46753</v>
      </c>
    </row>
    <row r="36" spans="1:10">
      <c r="A36" s="8" t="s">
        <v>957</v>
      </c>
      <c r="B36" s="8" t="s">
        <v>958</v>
      </c>
      <c r="C36" s="8" t="s">
        <v>959</v>
      </c>
      <c r="D36" s="8" t="s">
        <v>960</v>
      </c>
      <c r="E36" t="s">
        <v>9</v>
      </c>
      <c r="F36" t="s">
        <v>9</v>
      </c>
      <c r="G36" s="1" t="s">
        <v>10</v>
      </c>
      <c r="H36" s="16"/>
      <c r="I36" s="4">
        <f t="shared" si="0"/>
        <v>1095</v>
      </c>
      <c r="J36" s="9" t="s">
        <v>961</v>
      </c>
    </row>
    <row r="37" spans="1:10">
      <c r="A37" s="8" t="s">
        <v>962</v>
      </c>
      <c r="B37" s="22" t="s">
        <v>963</v>
      </c>
      <c r="C37" s="22" t="s">
        <v>963</v>
      </c>
      <c r="D37" s="22" t="s">
        <v>964</v>
      </c>
      <c r="E37" t="s">
        <v>9</v>
      </c>
      <c r="F37" s="15" t="s">
        <v>9</v>
      </c>
      <c r="G37" s="23" t="s">
        <v>10</v>
      </c>
      <c r="H37" s="17"/>
      <c r="I37" s="14">
        <f t="shared" si="0"/>
        <v>1095</v>
      </c>
    </row>
    <row r="38" spans="1:10">
      <c r="A38" s="8" t="s">
        <v>965</v>
      </c>
      <c r="B38" s="20" t="s">
        <v>966</v>
      </c>
      <c r="C38" s="20" t="s">
        <v>967</v>
      </c>
      <c r="D38" s="20" t="s">
        <v>968</v>
      </c>
      <c r="E38" t="s">
        <v>9</v>
      </c>
      <c r="F38" s="12" t="s">
        <v>9</v>
      </c>
      <c r="G38" s="21" t="s">
        <v>10</v>
      </c>
      <c r="H38" s="24"/>
      <c r="I38" s="13">
        <f t="shared" si="0"/>
        <v>1095</v>
      </c>
    </row>
    <row r="39" spans="1:10">
      <c r="A39" s="8" t="s">
        <v>969</v>
      </c>
      <c r="B39" s="8" t="s">
        <v>970</v>
      </c>
      <c r="C39" s="8" t="s">
        <v>971</v>
      </c>
      <c r="D39" s="8" t="s">
        <v>972</v>
      </c>
      <c r="E39" t="s">
        <v>9</v>
      </c>
      <c r="F39" t="s">
        <v>9</v>
      </c>
      <c r="G39" s="1" t="s">
        <v>10</v>
      </c>
      <c r="H39" s="16"/>
      <c r="I39" s="4">
        <f t="shared" si="0"/>
        <v>1095</v>
      </c>
    </row>
    <row r="40" spans="1:10">
      <c r="A40" s="8" t="s">
        <v>973</v>
      </c>
      <c r="B40" s="22" t="s">
        <v>974</v>
      </c>
      <c r="C40" s="22" t="s">
        <v>975</v>
      </c>
      <c r="D40" s="22" t="s">
        <v>976</v>
      </c>
      <c r="E40">
        <v>200.68</v>
      </c>
      <c r="F40" s="15">
        <v>189</v>
      </c>
      <c r="G40" s="34" t="s">
        <v>351</v>
      </c>
      <c r="H40" s="17">
        <v>45809</v>
      </c>
      <c r="I40" s="14">
        <f t="shared" si="0"/>
        <v>46904</v>
      </c>
    </row>
    <row r="41" spans="1:10">
      <c r="A41" s="8" t="s">
        <v>977</v>
      </c>
      <c r="B41" s="20" t="s">
        <v>978</v>
      </c>
      <c r="C41" s="20" t="s">
        <v>979</v>
      </c>
      <c r="D41" s="20" t="s">
        <v>980</v>
      </c>
      <c r="E41" t="s">
        <v>9</v>
      </c>
      <c r="F41" s="12" t="s">
        <v>9</v>
      </c>
      <c r="G41" s="21" t="s">
        <v>10</v>
      </c>
      <c r="H41" s="24"/>
      <c r="I41" s="13">
        <f t="shared" si="0"/>
        <v>1095</v>
      </c>
    </row>
    <row r="42" spans="1:10">
      <c r="A42" s="2" t="s">
        <v>981</v>
      </c>
      <c r="B42" s="8" t="s">
        <v>982</v>
      </c>
      <c r="C42" s="8" t="s">
        <v>983</v>
      </c>
      <c r="D42" s="8" t="s">
        <v>984</v>
      </c>
      <c r="E42" t="s">
        <v>985</v>
      </c>
      <c r="F42" t="s">
        <v>985</v>
      </c>
      <c r="G42" s="1" t="s">
        <v>10</v>
      </c>
      <c r="H42" s="16"/>
      <c r="I42" s="4">
        <f t="shared" si="0"/>
        <v>1095</v>
      </c>
    </row>
    <row r="43" spans="1:10" ht="28" customHeight="1">
      <c r="A43" s="2" t="s">
        <v>986</v>
      </c>
      <c r="B43" s="22" t="s">
        <v>987</v>
      </c>
      <c r="C43" s="22" t="s">
        <v>988</v>
      </c>
      <c r="D43" s="22" t="s">
        <v>989</v>
      </c>
      <c r="E43" t="s">
        <v>9</v>
      </c>
      <c r="F43" s="15" t="s">
        <v>9</v>
      </c>
      <c r="G43" s="23" t="s">
        <v>10</v>
      </c>
      <c r="H43" s="17"/>
      <c r="I43" s="14">
        <f t="shared" si="0"/>
        <v>1095</v>
      </c>
    </row>
    <row r="44" spans="1:10">
      <c r="A44" s="2" t="s">
        <v>990</v>
      </c>
      <c r="B44" s="20" t="s">
        <v>991</v>
      </c>
      <c r="C44" s="20" t="s">
        <v>991</v>
      </c>
      <c r="D44" s="20" t="s">
        <v>992</v>
      </c>
      <c r="E44" t="s">
        <v>9</v>
      </c>
      <c r="F44" s="12" t="s">
        <v>9</v>
      </c>
      <c r="G44" s="21" t="s">
        <v>10</v>
      </c>
      <c r="H44" s="24"/>
      <c r="I44" s="13">
        <f t="shared" si="0"/>
        <v>1095</v>
      </c>
    </row>
    <row r="45" spans="1:10">
      <c r="A45" s="2" t="s">
        <v>993</v>
      </c>
      <c r="B45" s="8" t="s">
        <v>994</v>
      </c>
      <c r="C45" s="8" t="s">
        <v>995</v>
      </c>
      <c r="D45" s="8" t="s">
        <v>996</v>
      </c>
      <c r="E45" t="s">
        <v>985</v>
      </c>
      <c r="F45" t="s">
        <v>985</v>
      </c>
      <c r="G45" s="1" t="s">
        <v>10</v>
      </c>
      <c r="H45" s="16"/>
      <c r="I45" s="4">
        <f t="shared" si="0"/>
        <v>1095</v>
      </c>
    </row>
    <row r="46" spans="1:10">
      <c r="A46" s="2" t="s">
        <v>997</v>
      </c>
      <c r="B46" s="22" t="s">
        <v>998</v>
      </c>
      <c r="C46" s="22" t="s">
        <v>999</v>
      </c>
      <c r="D46" s="22" t="s">
        <v>1000</v>
      </c>
      <c r="E46">
        <v>239</v>
      </c>
      <c r="F46" s="15">
        <v>219</v>
      </c>
      <c r="G46" s="34" t="s">
        <v>351</v>
      </c>
      <c r="H46" s="17">
        <v>45413</v>
      </c>
      <c r="I46" s="14">
        <f t="shared" si="0"/>
        <v>46508</v>
      </c>
    </row>
    <row r="47" spans="1:10">
      <c r="A47" s="2" t="s">
        <v>1001</v>
      </c>
      <c r="B47" s="20" t="s">
        <v>1002</v>
      </c>
      <c r="C47" s="20" t="s">
        <v>1003</v>
      </c>
      <c r="D47" s="20" t="s">
        <v>1004</v>
      </c>
      <c r="E47">
        <v>185.7</v>
      </c>
      <c r="F47" s="12">
        <v>138.57</v>
      </c>
      <c r="G47" s="31" t="s">
        <v>51</v>
      </c>
      <c r="H47" s="24">
        <v>45778</v>
      </c>
      <c r="I47" s="13">
        <f t="shared" si="0"/>
        <v>46873</v>
      </c>
    </row>
    <row r="48" spans="1:10">
      <c r="A48" s="8" t="s">
        <v>1005</v>
      </c>
      <c r="B48" s="8" t="s">
        <v>1006</v>
      </c>
      <c r="C48" s="8" t="s">
        <v>1007</v>
      </c>
      <c r="D48" s="8" t="s">
        <v>1008</v>
      </c>
      <c r="E48">
        <v>455</v>
      </c>
      <c r="F48">
        <v>428.99</v>
      </c>
      <c r="G48" s="33" t="s">
        <v>51</v>
      </c>
      <c r="H48" s="16">
        <v>45444</v>
      </c>
      <c r="I48" s="4">
        <f>H48+1095</f>
        <v>46539</v>
      </c>
    </row>
    <row r="49" spans="1:6">
      <c r="A49" s="8"/>
      <c r="B49" s="8"/>
      <c r="C49" s="8"/>
      <c r="D49" s="8"/>
      <c r="E49" t="str">
        <f t="shared" ref="E49:F58" si="1">IF(F49="没有符合条件的商品","没有符合条件的商品","")</f>
        <v/>
      </c>
      <c r="F49" t="str">
        <f t="shared" si="1"/>
        <v/>
      </c>
    </row>
    <row r="50" spans="1:6">
      <c r="A50" s="8"/>
      <c r="B50" s="8"/>
      <c r="C50" s="8"/>
      <c r="D50" s="8"/>
      <c r="E50" t="str">
        <f t="shared" si="1"/>
        <v/>
      </c>
      <c r="F50" t="str">
        <f t="shared" si="1"/>
        <v/>
      </c>
    </row>
    <row r="51" spans="1:6">
      <c r="A51" s="8"/>
      <c r="B51" s="8"/>
      <c r="C51" s="8"/>
      <c r="D51" s="8"/>
      <c r="E51" t="str">
        <f t="shared" si="1"/>
        <v/>
      </c>
      <c r="F51" t="str">
        <f t="shared" si="1"/>
        <v/>
      </c>
    </row>
    <row r="52" spans="1:6">
      <c r="A52" s="8"/>
      <c r="B52" s="8"/>
      <c r="C52" s="8"/>
      <c r="D52" s="8"/>
      <c r="E52" t="str">
        <f t="shared" si="1"/>
        <v/>
      </c>
      <c r="F52" t="str">
        <f t="shared" si="1"/>
        <v/>
      </c>
    </row>
    <row r="53" spans="1:6">
      <c r="A53" s="8"/>
      <c r="B53" s="8"/>
      <c r="C53" s="8"/>
      <c r="D53" s="8"/>
      <c r="E53" t="str">
        <f t="shared" si="1"/>
        <v/>
      </c>
      <c r="F53" t="str">
        <f t="shared" si="1"/>
        <v/>
      </c>
    </row>
    <row r="54" spans="1:6">
      <c r="A54" s="8"/>
      <c r="B54" s="8"/>
      <c r="C54" s="8"/>
      <c r="D54" s="8"/>
      <c r="E54" t="str">
        <f t="shared" si="1"/>
        <v/>
      </c>
      <c r="F54" t="str">
        <f t="shared" si="1"/>
        <v/>
      </c>
    </row>
    <row r="55" spans="1:6">
      <c r="A55" s="8"/>
      <c r="B55" s="8"/>
      <c r="C55" s="8"/>
      <c r="D55" s="8"/>
      <c r="E55" t="str">
        <f t="shared" si="1"/>
        <v/>
      </c>
      <c r="F55" t="str">
        <f t="shared" si="1"/>
        <v/>
      </c>
    </row>
    <row r="56" spans="1:6">
      <c r="A56" s="8"/>
      <c r="B56" s="8"/>
      <c r="C56" s="8"/>
      <c r="D56" s="8"/>
      <c r="E56" t="str">
        <f t="shared" si="1"/>
        <v/>
      </c>
      <c r="F56" t="str">
        <f t="shared" si="1"/>
        <v/>
      </c>
    </row>
    <row r="57" spans="1:6">
      <c r="A57" s="8"/>
      <c r="B57" s="8"/>
      <c r="C57" s="8"/>
      <c r="D57" s="8"/>
      <c r="E57" t="str">
        <f t="shared" si="1"/>
        <v/>
      </c>
      <c r="F57" t="str">
        <f t="shared" si="1"/>
        <v/>
      </c>
    </row>
    <row r="58" spans="1:6">
      <c r="A58" s="8"/>
      <c r="B58" s="8"/>
      <c r="C58" s="8"/>
      <c r="D58" s="8"/>
      <c r="E58" t="str">
        <f t="shared" si="1"/>
        <v/>
      </c>
      <c r="F58" t="str">
        <f t="shared" si="1"/>
        <v/>
      </c>
    </row>
  </sheetData>
  <sheetProtection formatCells="0" formatColumns="0" formatRows="0" insertColumns="0" insertRows="0" insertHyperlinks="0" deleteColumns="0" deleteRows="0" sort="0" autoFilter="0" pivotTables="0"/>
  <autoFilter ref="C1:G58" xr:uid="{00000000-0001-0000-0100-000000000000}"/>
  <phoneticPr fontId="3" type="noConversion"/>
  <conditionalFormatting sqref="A1">
    <cfRule type="duplicateValues" dxfId="4" priority="8"/>
  </conditionalFormatting>
  <conditionalFormatting sqref="A2:B3 A4:A44 A49:A58">
    <cfRule type="duplicateValues" dxfId="3" priority="49"/>
  </conditionalFormatting>
  <conditionalFormatting sqref="B5:B6 B8:B9 B11:B12 B14:B15 B17:B18 B20:B21 B23:B24 B26:B27 B29:B30 B32:B33 B35:B36 B38:B39 B41:B42 B44:B45 B47:B48">
    <cfRule type="duplicateValues" dxfId="2" priority="1"/>
  </conditionalFormatting>
  <conditionalFormatting sqref="B207:C243 B1:C1 B622:C1048576 B277:C487">
    <cfRule type="duplicateValues" dxfId="1" priority="10"/>
  </conditionalFormatting>
  <conditionalFormatting sqref="D1:I1">
    <cfRule type="duplicateValues" dxfId="0" priority="106"/>
  </conditionalFormatting>
  <hyperlinks>
    <hyperlink ref="J5" r:id="rId1" xr:uid="{00000000-0004-0000-0100-000000000000}"/>
    <hyperlink ref="J8" r:id="rId2" xr:uid="{00000000-0004-0000-0100-000001000000}"/>
    <hyperlink ref="J36" r:id="rId3" xr:uid="{00000000-0004-0000-0100-000002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48439476126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单支</vt:lpstr>
      <vt:lpstr>组套</vt:lpstr>
      <vt:lpstr>单支!_FilterDatabase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yunny</dc:creator>
  <cp:keywords/>
  <dc:description/>
  <cp:lastModifiedBy>Vincent Li</cp:lastModifiedBy>
  <cp:revision/>
  <dcterms:created xsi:type="dcterms:W3CDTF">2025-06-10T16:36:00Z</dcterms:created>
  <dcterms:modified xsi:type="dcterms:W3CDTF">2026-04-28T10:28:50Z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ReadingLayout">
    <vt:bool>true</vt:bool>
  </property>
  <property fmtid="{D5CDD505-2E9C-101B-9397-08002B2CF9AE}" pid="4" name="ICV">
    <vt:lpwstr>7262322BB4280C9379914A6818F9CB23_41</vt:lpwstr>
  </property>
  <property fmtid="{D5CDD505-2E9C-101B-9397-08002B2CF9AE}" pid="5" name="KSOProductBuildVer">
    <vt:lpwstr>2052-12.9.0.24776</vt:lpwstr>
  </property>
</Properties>
</file>