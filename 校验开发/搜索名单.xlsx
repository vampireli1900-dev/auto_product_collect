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vincentli/PycharmProjects/PythonProject/2026-4 群控/上手/"/>
    </mc:Choice>
  </mc:AlternateContent>
  <xr:revisionPtr revIDLastSave="0" documentId="13_ncr:1_{639A299C-B0F0-A144-8C63-85DE55564C3F}" xr6:coauthVersionLast="47" xr6:coauthVersionMax="47" xr10:uidLastSave="{00000000-0000-0000-0000-000000000000}"/>
  <bookViews>
    <workbookView xWindow="0" yWindow="760" windowWidth="30240" windowHeight="17700" xr2:uid="{00000000-000D-0000-FFFF-FFFF00000000}"/>
  </bookViews>
  <sheets>
    <sheet name="单支" sheetId="1" r:id="rId1"/>
    <sheet name="组套" sheetId="2" r:id="rId2"/>
    <sheet name="客户菜鸟API库存（待产品确认后再抓取）" sheetId="3" r:id="rId3"/>
  </sheets>
  <definedNames>
    <definedName name="_xlnm._FilterDatabase" localSheetId="0" hidden="1">单支!$A$1:$I$420</definedName>
    <definedName name="_xlnm._FilterDatabase" localSheetId="2" hidden="1">'客户菜鸟API库存（待产品确认后再抓取）'!$A$1:$E$1</definedName>
    <definedName name="_xlnm._FilterDatabase" localSheetId="1" hidden="1">组套!$A$1:$G$48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1" i="1" l="1"/>
  <c r="H411" i="1"/>
  <c r="H34" i="1"/>
  <c r="F34" i="1"/>
  <c r="F176" i="1"/>
  <c r="H336" i="1"/>
  <c r="F336" i="1"/>
  <c r="F342" i="1"/>
  <c r="H342" i="1"/>
  <c r="H335" i="1"/>
  <c r="F335" i="1"/>
  <c r="H334" i="1"/>
  <c r="F334" i="1"/>
  <c r="F308" i="1"/>
  <c r="H308" i="1"/>
  <c r="F302" i="1"/>
  <c r="H302" i="1"/>
  <c r="H299" i="1"/>
  <c r="F299" i="1"/>
  <c r="H297" i="1"/>
  <c r="F297" i="1"/>
  <c r="H286" i="1"/>
  <c r="F286" i="1"/>
  <c r="H284" i="1"/>
  <c r="F284" i="1"/>
  <c r="F282" i="1"/>
  <c r="H282" i="1"/>
  <c r="H281" i="1"/>
  <c r="F281" i="1"/>
  <c r="E243" i="1"/>
  <c r="E242" i="1"/>
  <c r="E241" i="1"/>
  <c r="E240" i="1"/>
  <c r="E239" i="1"/>
  <c r="E238" i="1"/>
  <c r="E237" i="1"/>
  <c r="E236" i="1"/>
</calcChain>
</file>

<file path=xl/sharedStrings.xml><?xml version="1.0" encoding="utf-8"?>
<sst xmlns="http://schemas.openxmlformats.org/spreadsheetml/2006/main" count="3157" uniqueCount="2583">
  <si>
    <t>商品条码</t>
  </si>
  <si>
    <t>货品名称</t>
  </si>
  <si>
    <t>关键词</t>
  </si>
  <si>
    <t>价格范围（最高）</t>
    <phoneticPr fontId="2" type="noConversion"/>
  </si>
  <si>
    <t>调整价格范围（最高）仅限通姆平台参考</t>
  </si>
  <si>
    <t>价格范围（最低）</t>
    <phoneticPr fontId="2" type="noConversion"/>
  </si>
  <si>
    <t>调整价格范围（最低）仅限通姆平台参考</t>
  </si>
  <si>
    <t>729238214316</t>
  </si>
  <si>
    <t>CPB防晒霜50g</t>
  </si>
  <si>
    <t>CPB防晒霜50</t>
  </si>
  <si>
    <t>729923811640</t>
  </si>
  <si>
    <t>CPB滋润洁面125ml</t>
  </si>
  <si>
    <t>729238161849</t>
  </si>
  <si>
    <t>CPB长管隔离38ml 清爽</t>
  </si>
  <si>
    <t>CPB长管隔离38 清爽</t>
  </si>
  <si>
    <t>729238161825</t>
  </si>
  <si>
    <t>CPB长管隔离新款37ml滋润</t>
  </si>
  <si>
    <t>cpb长管隔离37 滋润</t>
  </si>
  <si>
    <t>773602564279</t>
  </si>
  <si>
    <t>MAC 子弹头口红 923# STAY CURIOUS</t>
  </si>
  <si>
    <t>MAC 子弹头 923</t>
  </si>
  <si>
    <t>773602679294</t>
  </si>
  <si>
    <t>MAC热吻棒67</t>
  </si>
  <si>
    <t>773602726127</t>
  </si>
  <si>
    <t>MAC紫白饼</t>
  </si>
  <si>
    <t>3614223487295</t>
  </si>
  <si>
    <t>MiuMiu粉漾女士淡香氛50ml</t>
  </si>
  <si>
    <t>miumiu粉漾女士50</t>
  </si>
  <si>
    <t>3614220322452</t>
  </si>
  <si>
    <t>MiuMiu紅蓋同名女士濃香水50ml</t>
  </si>
  <si>
    <t>miumiu紅蓋同名女士50</t>
  </si>
  <si>
    <t>194251070384</t>
  </si>
  <si>
    <t>NARS 超方瓶-L2</t>
  </si>
  <si>
    <t>NARS 超方瓶L2</t>
  </si>
  <si>
    <t>194251070469</t>
  </si>
  <si>
    <t>NARS超方瓶粉底液L4</t>
  </si>
  <si>
    <t>194251070421</t>
  </si>
  <si>
    <t>NARS 超方瓶粉底液 L3#</t>
  </si>
  <si>
    <t>NARS超方瓶粉底液 L3</t>
  </si>
  <si>
    <t>194251070360</t>
  </si>
  <si>
    <t>NARS 超方瓶粉底液#L1</t>
  </si>
  <si>
    <t>NARS超方瓶粉底液L1</t>
  </si>
  <si>
    <t>194251070346</t>
  </si>
  <si>
    <t>NARS 粉底液 LO色</t>
  </si>
  <si>
    <t>NARS超方瓶粉底液LO</t>
  </si>
  <si>
    <t>194251075945</t>
  </si>
  <si>
    <t>NARS纳斯定妆散粉</t>
  </si>
  <si>
    <t>NARS纳斯散粉</t>
  </si>
  <si>
    <t>194251004013</t>
  </si>
  <si>
    <t>NARS 柔哑净瑕持妆粉底液45ml L3 GOBI</t>
  </si>
  <si>
    <t>NARS粉底液L3 GOBI</t>
  </si>
  <si>
    <t>8885018060503</t>
  </si>
  <si>
    <t>NARS 遮瑕膏 VANILLA色号</t>
  </si>
  <si>
    <t>NARS 遮瑕膏VANILLA</t>
  </si>
  <si>
    <t>8858928024125</t>
  </si>
  <si>
    <t>NARS5894蜜粉饼10G</t>
  </si>
  <si>
    <t>194251130750</t>
  </si>
  <si>
    <t>NARS空气唇釉686 lose control</t>
  </si>
  <si>
    <t>NARS空气唇釉lose control</t>
  </si>
  <si>
    <t>194251000374</t>
  </si>
  <si>
    <t>NARS空气唇釉thrust</t>
  </si>
  <si>
    <t>194251133515</t>
  </si>
  <si>
    <t>NARS细管101 NO ANGEL</t>
  </si>
  <si>
    <t>NARS细管唇膏101</t>
  </si>
  <si>
    <t>194251139920</t>
  </si>
  <si>
    <t>NARS细管116 START ME UP</t>
  </si>
  <si>
    <t>NARS细管唇膏116</t>
  </si>
  <si>
    <t>194251133614</t>
  </si>
  <si>
    <t>NARS细管133 TOO HOT TO HOLD</t>
  </si>
  <si>
    <t>NARS细管唇膏133</t>
  </si>
  <si>
    <t>9352825000026</t>
  </si>
  <si>
    <t>Nature BOBO澳洲木瓜膏唇膜润唇1</t>
  </si>
  <si>
    <t>澳洲木瓜膏16g</t>
  </si>
  <si>
    <t>9352825000088</t>
  </si>
  <si>
    <t>Nature BOBO澳洲木瓜膏唇膜润唇2</t>
  </si>
  <si>
    <t>澳洲木瓜膏25g</t>
  </si>
  <si>
    <t>4979006070064</t>
    <phoneticPr fontId="2" type="noConversion"/>
  </si>
  <si>
    <t>SK2 神仙水230ml</t>
  </si>
  <si>
    <t>SK2 神仙水230</t>
  </si>
  <si>
    <t>4979006101423</t>
  </si>
  <si>
    <t>SK2大红瓶滋润面霜100g</t>
  </si>
  <si>
    <t>SK2大红瓶滋润面霜100</t>
  </si>
  <si>
    <t>4979006052404</t>
  </si>
  <si>
    <t>SK2神仙水330ML</t>
  </si>
  <si>
    <t>SK2神仙水330</t>
  </si>
  <si>
    <t>4979006053982</t>
  </si>
  <si>
    <t>SK-II 男士保湿焕活洁面霜120g</t>
  </si>
  <si>
    <t>SK2男士保湿焕活洁面霜120</t>
  </si>
  <si>
    <t>4979006070095</t>
  </si>
  <si>
    <t>SK-II 男士焕活护肤精华露 230ml</t>
  </si>
  <si>
    <t>SK2男士焕活护肤精华露230</t>
  </si>
  <si>
    <t>4979006068641</t>
    <phoneticPr fontId="2" type="noConversion"/>
  </si>
  <si>
    <t>SK-II 小银瓶淡斑精华露75ml</t>
  </si>
  <si>
    <t>SK2小银瓶75</t>
  </si>
  <si>
    <t>4979006120820</t>
    <phoneticPr fontId="2" type="noConversion"/>
  </si>
  <si>
    <t>4979006100938</t>
  </si>
  <si>
    <t>SK-II光蕴臻采焕亮精华露双瓶装</t>
  </si>
  <si>
    <t>SK2小灯泡精华露50ml*2</t>
  </si>
  <si>
    <t>888066105828</t>
  </si>
  <si>
    <t>TF白麝香 100ml</t>
  </si>
  <si>
    <t>TF白麝香100</t>
  </si>
  <si>
    <t>888066106139</t>
  </si>
  <si>
    <t>TF黑管哑光16</t>
  </si>
  <si>
    <t>888066135948</t>
  </si>
  <si>
    <t>TF黑金唇釉123</t>
  </si>
  <si>
    <t>888066140812</t>
  </si>
  <si>
    <t>TF幻魅四色眼影盘#41 Peach Dawn桃色晨曦盘</t>
  </si>
  <si>
    <t>TF41眼影盘Peach Dawn</t>
  </si>
  <si>
    <t>888066011044</t>
  </si>
  <si>
    <t>TF幻魅四色眼影盘#GOLDEN MINK</t>
  </si>
  <si>
    <t>TF01眼影盘GOLDEN MINK</t>
  </si>
  <si>
    <t>888066161503</t>
  </si>
  <si>
    <t>TF镜面唇蜜17</t>
  </si>
  <si>
    <t>888066024099</t>
  </si>
  <si>
    <t>TF汤姆福特 乌木沉香 100ml</t>
  </si>
  <si>
    <t>TF乌木沉香100</t>
  </si>
  <si>
    <t>888066137416</t>
  </si>
  <si>
    <t>TF细黑管52</t>
  </si>
  <si>
    <t>4902424449884</t>
  </si>
  <si>
    <t>VAPE海藍柑橘噴霧200</t>
  </si>
  <si>
    <t>3614273671019</t>
  </si>
  <si>
    <t>YSL 细管丝绒纯口红 小黑条 316#</t>
  </si>
  <si>
    <t>YSL小黑条 316</t>
  </si>
  <si>
    <t>3614271641922</t>
    <phoneticPr fontId="2" type="noConversion"/>
  </si>
  <si>
    <t>YSL黑管唇釉416</t>
  </si>
  <si>
    <t>YSL爱心唇釉416</t>
  </si>
  <si>
    <t>3614274226553</t>
    <phoneticPr fontId="2" type="noConversion"/>
  </si>
  <si>
    <t>3614270561658</t>
  </si>
  <si>
    <t>YSL反转巴黎浓香香水50ml</t>
  </si>
  <si>
    <t>YSL反转巴黎50ml</t>
  </si>
  <si>
    <t>4935421768535</t>
  </si>
  <si>
    <t>YSL粉气垫替换芯B10</t>
  </si>
  <si>
    <t>4935421768504</t>
  </si>
  <si>
    <t>YSL粉气垫B10</t>
  </si>
  <si>
    <t>4935421768962</t>
  </si>
  <si>
    <t>YSL粉气垫替换芯br20</t>
  </si>
  <si>
    <t>3365440787919</t>
  </si>
  <si>
    <t>YSL黑鸦片浓香50ml</t>
  </si>
  <si>
    <t>YSL黑鸦片浓香50</t>
  </si>
  <si>
    <t>3614274128291</t>
  </si>
  <si>
    <t>YSL口红8B</t>
  </si>
  <si>
    <t>4935421738767</t>
  </si>
  <si>
    <t>YSL皮革气垫B20替换芯新款</t>
  </si>
  <si>
    <t>4935421738965</t>
    <phoneticPr fontId="2" type="noConversion"/>
  </si>
  <si>
    <t>YSL圣罗兰皮气垫新明彩亮润轻垫粉底液 #B20</t>
  </si>
  <si>
    <t>YSL皮革气垫正装B20新款</t>
  </si>
  <si>
    <t>4936968808395</t>
    <phoneticPr fontId="2" type="noConversion"/>
  </si>
  <si>
    <t>3614273376334</t>
  </si>
  <si>
    <t>YSL细管小金条 #1966</t>
  </si>
  <si>
    <t>YSL细管小金条1966</t>
  </si>
  <si>
    <t>3614272648401</t>
  </si>
  <si>
    <t>YSL自由之水浓香型30ml</t>
  </si>
  <si>
    <t>3614272648418</t>
  </si>
  <si>
    <t>YSL自由之水浓香50ml</t>
  </si>
  <si>
    <t>YSL自由之水浓香50</t>
  </si>
  <si>
    <t>3614272648425</t>
  </si>
  <si>
    <t>YSL自由之水浓香90ml</t>
  </si>
  <si>
    <t>YSL自由之水浓香90</t>
  </si>
  <si>
    <t>3614273955546</t>
  </si>
  <si>
    <t>阿玛尼 寄情男士淡香水100ml 新版</t>
  </si>
  <si>
    <t>阿玛尼寄情男士淡香水100新版</t>
  </si>
  <si>
    <t>3614273129152</t>
  </si>
  <si>
    <t>阿玛尼大师蓝标粉底液1.5</t>
  </si>
  <si>
    <t>阿玛尼大师蓝标粉底1.5</t>
  </si>
  <si>
    <t>3614272742574</t>
  </si>
  <si>
    <t>阿玛尼红管唇釉206#</t>
  </si>
  <si>
    <t>阿玛尼红管唇釉206</t>
  </si>
  <si>
    <t>3605522075283</t>
  </si>
  <si>
    <t>阿玛尼红管唇釉405-24年</t>
  </si>
  <si>
    <t>阿玛尼红管唇釉405</t>
  </si>
  <si>
    <t>3614273325479</t>
  </si>
  <si>
    <t>阿玛尼红气垫替换芯2#-24年</t>
  </si>
  <si>
    <t>阿玛尼红气垫替换芯2</t>
  </si>
  <si>
    <t>3614273557986</t>
  </si>
  <si>
    <t>阿玛尼权力粉底液3号</t>
  </si>
  <si>
    <t>阿玛尼权力粉底液3</t>
  </si>
  <si>
    <t>3614273429498</t>
  </si>
  <si>
    <t>阿玛尼臻致丝绒哑光唇釉#214</t>
  </si>
  <si>
    <t>阿玛尼哑光唇釉214</t>
  </si>
  <si>
    <t>3614272073968</t>
  </si>
  <si>
    <t xml:space="preserve">阿玛尼挚爱哑光唇膏#400 </t>
  </si>
  <si>
    <t>阿玛尼挚爱哑光唇膏400</t>
  </si>
  <si>
    <t>3346131101375</t>
  </si>
  <si>
    <t>爱马仕尼罗河淡香30ml</t>
  </si>
  <si>
    <t>爱马仕尼罗河淡香30</t>
  </si>
  <si>
    <t>716170238012</t>
  </si>
  <si>
    <t>芭比波朗 密集修护菁华妆前乳 40ml</t>
  </si>
  <si>
    <t>芭比波朗密集修护菁华妆前乳40</t>
  </si>
  <si>
    <t>716170027456</t>
  </si>
  <si>
    <t>芭比波朗 维他命橘子面霜 50ml</t>
  </si>
  <si>
    <t>芭比波朗橘子面霜50</t>
  </si>
  <si>
    <t>716170196657</t>
  </si>
  <si>
    <t>芭比波朗月光石眼影</t>
  </si>
  <si>
    <t>7340032860931</t>
  </si>
  <si>
    <t>百瑞德无人区玫瑰50ML</t>
  </si>
  <si>
    <t>百瑞德无人区玫瑰50</t>
  </si>
  <si>
    <t>4524734413517</t>
  </si>
  <si>
    <t>城野医生美白淡斑精华1</t>
  </si>
  <si>
    <t>4971710376524</t>
  </si>
  <si>
    <t>黛珂 多重防護素顏霜35g SPF50+/PA++++ #10 新版</t>
  </si>
  <si>
    <t>黛珂多重修颜素颜霜35</t>
  </si>
  <si>
    <t>4971710372274</t>
  </si>
  <si>
    <t>黛珂 防晒防水版60g</t>
  </si>
  <si>
    <t>黛珂防晒防水版60</t>
  </si>
  <si>
    <t>4971710364439</t>
  </si>
  <si>
    <t>黛珂 植物韵律清爽乳200ml</t>
  </si>
  <si>
    <t>黛珂植物韵律清爽乳200</t>
  </si>
  <si>
    <t>4971710364453</t>
  </si>
  <si>
    <t>黛珂 植物韵律清爽水200ml</t>
  </si>
  <si>
    <t>黛珂植物韵律清爽水200</t>
  </si>
  <si>
    <t>4971710374551</t>
  </si>
  <si>
    <t>黛珂智密紧颜美白清爽乳液 200ml</t>
  </si>
  <si>
    <t>黛珂智密紧颜单乳清爽200</t>
  </si>
  <si>
    <t>4971710524314</t>
  </si>
  <si>
    <t>黛珂AQ白檀乳液200ml清爽型</t>
  </si>
  <si>
    <t xml:space="preserve">黛珂AQ白檀清爽乳液200 </t>
  </si>
  <si>
    <t>4971710524611</t>
  </si>
  <si>
    <t>黛珂AQ白檀水200ml清爽型</t>
  </si>
  <si>
    <t>黛珂AQ白檀清爽水200</t>
  </si>
  <si>
    <t>4971710367577</t>
  </si>
  <si>
    <t>黛珂AQ舒活白檀美白乳液200ml</t>
  </si>
  <si>
    <t>黛珂AQ舒活白檀美白单乳200</t>
  </si>
  <si>
    <t>4971710367010</t>
  </si>
  <si>
    <t>黛珂AQ舒活滋润化妆水200ml</t>
  </si>
  <si>
    <t>黛珂AQ舒活滋润200</t>
  </si>
  <si>
    <t>4971710371833</t>
  </si>
  <si>
    <t>黛珂AQ舒活滋润乳液200ml</t>
  </si>
  <si>
    <t>黛珂AQ舒活滋润乳液200</t>
  </si>
  <si>
    <t>4971710369458</t>
  </si>
  <si>
    <t>黛珂牛油果乳液 300ml</t>
  </si>
  <si>
    <t>黛珂牛油果乳液300</t>
  </si>
  <si>
    <t>4971710377224</t>
  </si>
  <si>
    <t>黛珂牛油果乳液150ml</t>
  </si>
  <si>
    <t>黛珂牛油果乳液150</t>
  </si>
  <si>
    <t>4971710376166</t>
  </si>
  <si>
    <t>黛珂沁活晶澈润肤精华水200ml</t>
  </si>
  <si>
    <t>黛珂沁活晶澈润肤精华水200</t>
  </si>
  <si>
    <t>4971710378474</t>
  </si>
  <si>
    <t>黛珂散粉01 24年新版</t>
  </si>
  <si>
    <t>黛珂散粉01</t>
  </si>
  <si>
    <t>4971710378412</t>
  </si>
  <si>
    <t>黛珂散粉光肌00 24年新版</t>
  </si>
  <si>
    <t>黛珂散粉光肌00 24年</t>
  </si>
  <si>
    <t>4971710360516</t>
  </si>
  <si>
    <t>黛珂紫苏水 300ml</t>
  </si>
  <si>
    <t>黛珂紫苏水300</t>
  </si>
  <si>
    <t>4971710569995</t>
  </si>
  <si>
    <t>黛珂紫苏水150ml</t>
  </si>
  <si>
    <t>黛珂紫苏水150</t>
  </si>
  <si>
    <t>666151040328</t>
  </si>
  <si>
    <t>德美乐嘉多维面膜涂抹面膜75ml</t>
  </si>
  <si>
    <t>德美乐嘉多维面膜75</t>
  </si>
  <si>
    <t>8000500016169</t>
  </si>
  <si>
    <t>费列罗榛果巧克力制品T24</t>
  </si>
  <si>
    <t>费列罗T24</t>
  </si>
  <si>
    <t>8801051242805</t>
  </si>
  <si>
    <t>拱辰享洁面180ml</t>
  </si>
  <si>
    <t>拱辰享洁面180</t>
  </si>
  <si>
    <t>8005610481043</t>
  </si>
  <si>
    <t>古驰花悦绽放女士浓香50ml</t>
  </si>
  <si>
    <t>古驰花悦绽放女士浓香50</t>
  </si>
  <si>
    <t>3616304126345</t>
  </si>
  <si>
    <t>古驰金管217哑光</t>
  </si>
  <si>
    <t>古驰金管217</t>
  </si>
  <si>
    <t>3614229374933</t>
  </si>
  <si>
    <t>古驰金管哑光口红208#</t>
  </si>
  <si>
    <t>古驰金管哑光口红208</t>
  </si>
  <si>
    <t>3616305169259</t>
  </si>
  <si>
    <t>古驰绮梦香草兰香型30ml</t>
  </si>
  <si>
    <t>3614228844857</t>
  </si>
  <si>
    <t>古驰细管口红#25*</t>
  </si>
  <si>
    <t>古驰细管口红25</t>
  </si>
  <si>
    <t>3616303311339</t>
    <phoneticPr fontId="2" type="noConversion"/>
  </si>
  <si>
    <t>古驰倾色绒雾唇膏505（金色短管）</t>
  </si>
  <si>
    <t>古驰倾色绒雾唇膏505</t>
  </si>
  <si>
    <t>3614229374827</t>
    <phoneticPr fontId="2" type="noConversion"/>
  </si>
  <si>
    <t>古驰倾色云雾唇釉505（红色长管）</t>
  </si>
  <si>
    <t>古驰倾色云雾唇釉505</t>
  </si>
  <si>
    <t>8005610295046</t>
  </si>
  <si>
    <t>古驰竹韵淡香50ml</t>
  </si>
  <si>
    <t>古驰竹韵淡香50</t>
  </si>
  <si>
    <t>737052339207</t>
  </si>
  <si>
    <t>古驰罪爱男香50ml</t>
  </si>
  <si>
    <t>古驰罪爱男香50</t>
  </si>
  <si>
    <t>747930112433</t>
  </si>
  <si>
    <t>海蓝之谜唇膜9g</t>
  </si>
  <si>
    <t>747930121695</t>
  </si>
  <si>
    <t>海蓝之谜精粹水 150ml 新版</t>
  </si>
  <si>
    <t>海蓝之谜精粹水150 新</t>
  </si>
  <si>
    <t>747930039525</t>
  </si>
  <si>
    <t>海蓝之谜精粹水150ml</t>
  </si>
  <si>
    <t>海蓝之谜精粹水150</t>
  </si>
  <si>
    <t>747930000013</t>
  </si>
  <si>
    <t>海蓝之谜精华面霜60ml</t>
  </si>
  <si>
    <t>海蓝之谜面霜60ml</t>
  </si>
  <si>
    <t>747930123255</t>
  </si>
  <si>
    <t>海蓝之谜绿眼霜15ml</t>
  </si>
  <si>
    <t>海蓝之谜绿眼霜15</t>
  </si>
  <si>
    <t>747930013549</t>
  </si>
  <si>
    <t>海蓝之谜面霜100ml</t>
  </si>
  <si>
    <t>747930091059</t>
  </si>
  <si>
    <t>海蓝之谜气垫1号</t>
  </si>
  <si>
    <t>3605521489654</t>
  </si>
  <si>
    <t>赫莲娜 黑绷带50ml</t>
  </si>
  <si>
    <t>赫莲娜黑绷带50ml</t>
  </si>
  <si>
    <t>3614274101584</t>
  </si>
  <si>
    <t>赫莲娜黑绷带100ml</t>
  </si>
  <si>
    <t>3614273762861</t>
  </si>
  <si>
    <t>赫莲娜黑绷带活颜修护舒缓晚霜115ML</t>
  </si>
  <si>
    <t>赫莲娜黑绷带面霜115ml</t>
  </si>
  <si>
    <t>3614274114133</t>
  </si>
  <si>
    <t>赫莲娜活颜修护眼霜 15ml</t>
  </si>
  <si>
    <t>赫莲娜活颜修护眼霜15ml</t>
  </si>
  <si>
    <t>3614273785211</t>
  </si>
  <si>
    <t>赫莲娜绿宝瓶精华 按压款100ml</t>
  </si>
  <si>
    <t>赫莲娜绿宝瓶按压款100ml</t>
  </si>
  <si>
    <t>4936968874291</t>
  </si>
  <si>
    <t>赫莲娜小露珠精粹露200ml新款</t>
  </si>
  <si>
    <t>赫莲娜小露珠精粹露200ml</t>
  </si>
  <si>
    <t>8801051715279</t>
  </si>
  <si>
    <t>后拱辰享气韵生水150ml</t>
  </si>
  <si>
    <t>后拱辰享活肤滋养爽肤水150ml</t>
  </si>
  <si>
    <t>8801051242515</t>
  </si>
  <si>
    <t>后拱辰享水妍洁面180ml</t>
  </si>
  <si>
    <t>8801051242225</t>
  </si>
  <si>
    <t>后拱辰享水沄赋活保湿水150ml</t>
  </si>
  <si>
    <t>后水妍单水150ml</t>
  </si>
  <si>
    <t>8801051241464</t>
  </si>
  <si>
    <t>后拱辰享雪美白水150ml</t>
  </si>
  <si>
    <t>后拱辰享雪美白水150</t>
  </si>
  <si>
    <t>8801051657616</t>
  </si>
  <si>
    <t>后津率享洁面180ml</t>
  </si>
  <si>
    <t>后津率享洁面180</t>
  </si>
  <si>
    <t>8801051994704</t>
  </si>
  <si>
    <t>后津率享平衡水150ml</t>
  </si>
  <si>
    <t>后津率享平衡水150</t>
  </si>
  <si>
    <t>8801051268690</t>
  </si>
  <si>
    <t>后天气丹PRO水150ML</t>
  </si>
  <si>
    <t>后天气丹PRO水150</t>
  </si>
  <si>
    <t>8801051241709</t>
  </si>
  <si>
    <t>后雪玉凝美白洗面奶 180ml</t>
  </si>
  <si>
    <t>后雪玉凝美白洗面奶180</t>
  </si>
  <si>
    <t>3274872455115</t>
  </si>
  <si>
    <t>纪梵希 粉丝绒N27</t>
  </si>
  <si>
    <t>纪梵希粉丝绒N27</t>
  </si>
  <si>
    <t>3274872429185</t>
  </si>
  <si>
    <t>纪梵希 红丝绒口红#N36</t>
  </si>
  <si>
    <t>纪梵希口红N36</t>
  </si>
  <si>
    <t>3274872429192</t>
  </si>
  <si>
    <t>纪梵希 红丝绒口红#N37</t>
  </si>
  <si>
    <t>纪梵希口红N37</t>
  </si>
  <si>
    <t>3274872422599</t>
  </si>
  <si>
    <t>纪梵希 小粉皮口红#N333</t>
  </si>
  <si>
    <t>纪梵希小粉皮口红N333</t>
  </si>
  <si>
    <t>3274872447042</t>
  </si>
  <si>
    <t>纪梵希 小羊皮 N306</t>
  </si>
  <si>
    <t>纪梵希小羊皮N306</t>
  </si>
  <si>
    <t>3274872438675</t>
  </si>
  <si>
    <t>纪梵希四宫格散粉1号色</t>
  </si>
  <si>
    <t>3346470620339</t>
  </si>
  <si>
    <t>娇兰第四代复原蜜精华50ml</t>
  </si>
  <si>
    <t>娇兰第四代复原蜜50ml</t>
  </si>
  <si>
    <t>3666057263873</t>
  </si>
  <si>
    <t>娇韵诗弹簧水200ml</t>
  </si>
  <si>
    <t>娇韵诗弹簧水200</t>
  </si>
  <si>
    <t>3666057229862</t>
  </si>
  <si>
    <t>娇韵诗光芒小瓷瓶精华50ml</t>
  </si>
  <si>
    <t>娇韵诗小瓷瓶50</t>
  </si>
  <si>
    <t>3666057202476</t>
  </si>
  <si>
    <t>娇韵诗双萃精华50ml九代新版</t>
  </si>
  <si>
    <t>娇韵诗双萃精华50ml九代</t>
  </si>
  <si>
    <t>3666057106965</t>
  </si>
  <si>
    <t>娇韵诗双萃精华清爽50ML</t>
  </si>
  <si>
    <t>娇韵诗双萃精华清爽50</t>
  </si>
  <si>
    <t>3666057023378</t>
  </si>
  <si>
    <t>娇韵诗透亮焕白淡斑乳液75mL</t>
  </si>
  <si>
    <t>娇韵诗透亮焕白淡斑乳液75</t>
  </si>
  <si>
    <t>3605975038132</t>
  </si>
  <si>
    <t>科颜氏白泥面膜125ml 24款</t>
  </si>
  <si>
    <t>科颜氏白泥面膜125 24款</t>
  </si>
  <si>
    <t>3605975028799</t>
  </si>
  <si>
    <t>科颜氏 高保湿面霜125ml 滋润</t>
  </si>
  <si>
    <t xml:space="preserve">科颜氏高保湿面霜滋润125 </t>
  </si>
  <si>
    <t>3605970630881</t>
  </si>
  <si>
    <t>科颜氏 金盏花洁面啫喱230ml</t>
  </si>
  <si>
    <t>科颜氏金盏花洁面啫喱230</t>
  </si>
  <si>
    <t>3605971990496</t>
  </si>
  <si>
    <t>科颜氏 金盏花面霜100ml</t>
  </si>
  <si>
    <t>科颜氏金盏花面霜100</t>
  </si>
  <si>
    <t>3605971990410</t>
  </si>
  <si>
    <t>科颜氏 金盏花面霜50ml</t>
  </si>
  <si>
    <t>科颜氏金盏花面霜50</t>
  </si>
  <si>
    <t>3700194711702</t>
  </si>
  <si>
    <t>科颜氏 金盏花爽肤水250ml</t>
  </si>
  <si>
    <t>科颜氏金盏花爽肤水250</t>
  </si>
  <si>
    <t>3700194711719</t>
  </si>
  <si>
    <t>科颜氏 金盏花植物精华化妆水500ml</t>
  </si>
  <si>
    <t>科颜氏金盏花爽肤水500</t>
  </si>
  <si>
    <t>3605970363307</t>
  </si>
  <si>
    <t>科颜氏 美白淡斑精华100ml</t>
  </si>
  <si>
    <t>科颜氏淡斑精华100</t>
  </si>
  <si>
    <t>3605972549082</t>
  </si>
  <si>
    <t>科颜氏淡斑精华115ml</t>
  </si>
  <si>
    <t>科颜氏淡斑精华115</t>
  </si>
  <si>
    <t>3605972453174</t>
  </si>
  <si>
    <t>科颜氏高保湿霜125ml 清爽</t>
  </si>
  <si>
    <t>3605970360757</t>
  </si>
  <si>
    <t>科颜氏高保湿滋润面霜50ml滋润</t>
  </si>
  <si>
    <t>3605975077063</t>
  </si>
  <si>
    <t>科颜氏男士洁面啫喱250ml</t>
  </si>
  <si>
    <t>科颜氏男士洁面啫喱250</t>
  </si>
  <si>
    <t>3614225343957</t>
  </si>
  <si>
    <t>蔻依北国雪松浓香水50ml</t>
  </si>
  <si>
    <t>蔻依北国雪松50ml</t>
  </si>
  <si>
    <t>3605972427670</t>
  </si>
  <si>
    <t>拉夫劳伦地球淡香氛 100ml</t>
  </si>
  <si>
    <t>拉夫劳伦地球淡香氛 100</t>
  </si>
  <si>
    <t>3605972831439</t>
  </si>
  <si>
    <t>拉夫劳伦地球淡香氛 40ml</t>
  </si>
  <si>
    <t>拉夫劳伦地球淡香氛 40</t>
  </si>
  <si>
    <t>3605972831453</t>
  </si>
  <si>
    <t>拉夫劳伦地球系列淡香氛 安的列斯香根草 100ml</t>
  </si>
  <si>
    <t>拉夫劳伦安的列斯香根草100</t>
  </si>
  <si>
    <t>3605972831354</t>
  </si>
  <si>
    <t>拉夫劳伦地球系列淡香氛 安的列斯香根草 40ml</t>
  </si>
  <si>
    <t>拉夫劳伦安的列斯香根草40</t>
  </si>
  <si>
    <t>3605972831552</t>
  </si>
  <si>
    <t>拉夫劳伦地球系列淡香氛 摩洛哥橙花 40ml</t>
  </si>
  <si>
    <t>拉夫劳伦摩洛哥橙花40</t>
  </si>
  <si>
    <t>3605972831576</t>
  </si>
  <si>
    <t>拉夫劳伦地球系列淡香氛 普罗旺斯鼠尾草 100ml</t>
  </si>
  <si>
    <t>拉夫劳伦普罗旺斯鼠尾草100</t>
  </si>
  <si>
    <t>3605972866325</t>
  </si>
  <si>
    <t>拉夫劳伦地球系列淡香氛 普罗旺斯鼠尾草 40ml</t>
  </si>
  <si>
    <t>拉夫劳伦普罗旺斯鼠尾草40</t>
  </si>
  <si>
    <t>3605972866349</t>
  </si>
  <si>
    <t>拉夫劳伦地球系列香氛 澳洲檀木 100ml</t>
  </si>
  <si>
    <t>拉夫劳伦澳洲檀木100</t>
  </si>
  <si>
    <t>3605971512575</t>
  </si>
  <si>
    <t>拉夫劳伦地球系列香氛 澳洲檀木 40ml</t>
  </si>
  <si>
    <t>拉夫劳伦澳洲檀木 40</t>
  </si>
  <si>
    <t>3605971512650</t>
  </si>
  <si>
    <t>拉夫劳伦俱乐部香水淡香型 100ML</t>
  </si>
  <si>
    <t>3605971512612</t>
  </si>
  <si>
    <t>拉夫劳伦俱乐部香水淡香型 30ML</t>
  </si>
  <si>
    <t>3614273069083</t>
  </si>
  <si>
    <t>欧珑无极乌龙护手霜30ML</t>
  </si>
  <si>
    <t>7611773113892</t>
  </si>
  <si>
    <t>莱珀妮反重力精华50ml</t>
  </si>
  <si>
    <t>莱珀妮反重力50</t>
  </si>
  <si>
    <t>3614273793551</t>
  </si>
  <si>
    <t>兰蔻 持妆粉底液 PO-01 30ml</t>
  </si>
  <si>
    <t>兰蔻持妆粉底液PO-01</t>
  </si>
  <si>
    <t>3614274039634</t>
  </si>
  <si>
    <t xml:space="preserve">兰蔻 极光乳液净澈焕肤亮白乳液 75ml </t>
  </si>
  <si>
    <t>兰蔻极光乳75ml</t>
  </si>
  <si>
    <t>3614272520684</t>
  </si>
  <si>
    <t>兰蔻 极光水250ML新款</t>
  </si>
  <si>
    <t>兰蔻极光水250ml新款</t>
  </si>
  <si>
    <t>3614274142327</t>
  </si>
  <si>
    <t>兰蔻二代精华肌底液115ml</t>
  </si>
  <si>
    <t>兰蔻二代小黑瓶115</t>
  </si>
  <si>
    <t>3147758030297</t>
  </si>
  <si>
    <t>兰蔻粉水400ml 旧版</t>
  </si>
  <si>
    <t>兰蔻粉水400ml</t>
  </si>
  <si>
    <t>3614274145250</t>
  </si>
  <si>
    <t>兰蔻粉水400ml 新版</t>
  </si>
  <si>
    <t>兰蔻粉水400ml渐变版</t>
  </si>
  <si>
    <t>3614272623507</t>
  </si>
  <si>
    <t>兰蔻第二代肌底液100ml</t>
  </si>
  <si>
    <t>4935421707626</t>
  </si>
  <si>
    <t>兰蔻极光洁面乳125ml</t>
  </si>
  <si>
    <t>兰蔻极光洁面乳125</t>
  </si>
  <si>
    <t>4935421786515</t>
  </si>
  <si>
    <t>兰蔻极光美白精华50ml 新款</t>
  </si>
  <si>
    <t>兰蔻极光美白精华50新版</t>
  </si>
  <si>
    <t>3614273962087</t>
  </si>
  <si>
    <t>兰蔻菁纯丝绒雾面唇膏200#</t>
  </si>
  <si>
    <t>兰蔻菁纯丝绒雾面唇膏200</t>
  </si>
  <si>
    <t>3147758029406</t>
  </si>
  <si>
    <t>兰蔻奇迹香水30ml</t>
  </si>
  <si>
    <t>兰蔻奇迹香水30</t>
  </si>
  <si>
    <t>4935421669078</t>
  </si>
  <si>
    <t>兰蔻清爽防晒50ml 25款</t>
  </si>
  <si>
    <t>兰蔻清爽防晒50ml25年</t>
  </si>
  <si>
    <t>3614274078558</t>
  </si>
  <si>
    <t>兰蔻是我淡香水 50ml</t>
  </si>
  <si>
    <t>兰蔻是我淡香水50</t>
  </si>
  <si>
    <t>4935421669252</t>
  </si>
  <si>
    <t>兰蔻小白管防晒乳50ml</t>
  </si>
  <si>
    <t>3660732531868</t>
    <phoneticPr fontId="2" type="noConversion"/>
  </si>
  <si>
    <t>兰蔻小黑瓶肌底液第二代100ml*2</t>
  </si>
  <si>
    <t>3614273274647</t>
  </si>
  <si>
    <t>兰蔻小黑瓶眼霜15ml</t>
  </si>
  <si>
    <t>兰蔻小黑瓶眼霜15g</t>
  </si>
  <si>
    <t>3614274187922</t>
  </si>
  <si>
    <t>兰蔻小蛮腰哑光296唇膏</t>
  </si>
  <si>
    <t>兰蔻小蛮腰296</t>
  </si>
  <si>
    <t>736150000316</t>
  </si>
  <si>
    <t>罗拉散粉经典款29G</t>
  </si>
  <si>
    <t>罗拉散粉经典款29g</t>
  </si>
  <si>
    <t>3605521932464</t>
  </si>
  <si>
    <t>马丁马吉拉-慵懒周末100ml</t>
  </si>
  <si>
    <t>马吉拉慵懒周末100</t>
  </si>
  <si>
    <t>767332603612</t>
  </si>
  <si>
    <t>慕拉得塑颜修复A醇精华30ml</t>
  </si>
  <si>
    <t>慕拉得A醇精华30ml</t>
  </si>
  <si>
    <t>3700591201356</t>
  </si>
  <si>
    <t>欧珑赤霞橘光护手霜30ML</t>
  </si>
  <si>
    <t>欧珑赤霞橘光护手霜30ml</t>
  </si>
  <si>
    <t>3614273984553</t>
  </si>
  <si>
    <t>欧珑淡香精  赤霞橘光 100ML</t>
  </si>
  <si>
    <t>欧珑赤霞橘光100ml</t>
  </si>
  <si>
    <t>3614273984546</t>
  </si>
  <si>
    <t>欧珑淡香精  情柚独钟 100ML</t>
  </si>
  <si>
    <t>欧珑淡情柚独钟100ml</t>
  </si>
  <si>
    <t>3614273984669</t>
  </si>
  <si>
    <t>欧珑淡香精  无极乌龙 100ML</t>
  </si>
  <si>
    <t>欧珑无极乌龙100</t>
  </si>
  <si>
    <t>3614273984843</t>
  </si>
  <si>
    <t>欧珑淡香精 赤霞橘光 30ML</t>
  </si>
  <si>
    <t>欧珑赤霞橘光30</t>
  </si>
  <si>
    <t>3614273984836</t>
  </si>
  <si>
    <t>欧珑淡香精 情柚独钟 30ML</t>
  </si>
  <si>
    <t>欧珑情柚独钟30</t>
  </si>
  <si>
    <t>3614273984911</t>
  </si>
  <si>
    <t>欧珑淡香精 无极乌龙 30ML</t>
  </si>
  <si>
    <t>欧珑无极乌龙30</t>
  </si>
  <si>
    <t>3614273984973</t>
  </si>
  <si>
    <t>欧珑淡香精 雪松之恋 30ML</t>
  </si>
  <si>
    <t>欧珑雪松之恋30</t>
  </si>
  <si>
    <t>4987176076663</t>
  </si>
  <si>
    <t>潘婷奇迹发膜胶原护发素损伤修护150ml</t>
  </si>
  <si>
    <t>潘婷奇迹发膜150ml</t>
  </si>
  <si>
    <t>192333127070</t>
  </si>
  <si>
    <t>倩碧 紫胖子卸妆膏125ml</t>
  </si>
  <si>
    <t>倩碧紫胖子卸妆膏125</t>
  </si>
  <si>
    <t>20714215552</t>
  </si>
  <si>
    <t xml:space="preserve">倩碧小雏菊裸色阳光腮#05 </t>
  </si>
  <si>
    <t xml:space="preserve">倩碧小雏菊裸色阳光腮05 </t>
  </si>
  <si>
    <t>8806076005725</t>
  </si>
  <si>
    <t>薇迪薇奇净颜美肌洁面乳</t>
  </si>
  <si>
    <t>3337871331290</t>
  </si>
  <si>
    <t>薇姿VICHY洗发水绿标硫化硒去屑止痒控油洗发乳390ml</t>
  </si>
  <si>
    <t>薇姿洗发水绿标控油洗发乳390</t>
  </si>
  <si>
    <t>625273090420</t>
  </si>
  <si>
    <t>伟博金萃高纯度鱼油1100</t>
  </si>
  <si>
    <t>伟博金萃高纯度鱼油1100毫克Omega-3 60粒</t>
  </si>
  <si>
    <t>625273052558</t>
  </si>
  <si>
    <t>伟博天然氨糖D3维骨力胶囊300粒</t>
  </si>
  <si>
    <t>625273090185</t>
  </si>
  <si>
    <t>伟博天然鱼油软胶囊120粒</t>
  </si>
  <si>
    <t>3145891414509</t>
  </si>
  <si>
    <t>香奈儿山茶花柔和净肤泡沫 洁面 女款 清爽 150ml</t>
  </si>
  <si>
    <t>香奈儿山茶花洁面女款清爽150</t>
  </si>
  <si>
    <t>887167485525</t>
  </si>
  <si>
    <t>雅诗兰黛 第七代 小棕瓶100ml</t>
  </si>
  <si>
    <t>雅诗兰黛第七代小棕瓶100</t>
  </si>
  <si>
    <t>27131987840</t>
  </si>
  <si>
    <t>雅诗兰黛 净莹柔肤洁面乳150ml（蓝洁面）</t>
  </si>
  <si>
    <t>雅诗兰黛净莹柔肤蓝洁面150</t>
  </si>
  <si>
    <t>887167419704</t>
  </si>
  <si>
    <t>雅诗兰黛DW  2c0</t>
  </si>
  <si>
    <t>雅诗兰黛DW粉底液2c0</t>
  </si>
  <si>
    <t>887167727793</t>
  </si>
  <si>
    <t>雅诗兰黛大棕罐膜霜65ml</t>
  </si>
  <si>
    <t>雅诗兰黛大棕瓶65ml</t>
  </si>
  <si>
    <t>887167427723</t>
  </si>
  <si>
    <t>雅诗兰黛红石榴洁面60ml</t>
  </si>
  <si>
    <t>887167529502</t>
  </si>
  <si>
    <t>雅诗兰黛第七代特润小棕瓶100ml*2（新款）</t>
  </si>
  <si>
    <t>887167570153</t>
  </si>
  <si>
    <t>雅诗兰黛线雕精华50ml（新版）</t>
  </si>
  <si>
    <t>雅诗兰黛线雕精华50ml新版</t>
  </si>
  <si>
    <t>887167588509</t>
  </si>
  <si>
    <t>雅诗兰黛小棕瓶眼霜15ml</t>
  </si>
  <si>
    <t>887167727823</t>
  </si>
  <si>
    <t>雅诗兰黛智妍晚霜75ml</t>
  </si>
  <si>
    <t>4931449433080</t>
  </si>
  <si>
    <t>茵芙纱 三色遮瑕4.5g</t>
  </si>
  <si>
    <t>茵芙纱三色遮瑕</t>
  </si>
  <si>
    <t>4909978147105</t>
  </si>
  <si>
    <t>资生堂安耐晒60ml新版</t>
  </si>
  <si>
    <t>729238103214</t>
  </si>
  <si>
    <t>资生堂百优面霜 75ml</t>
  </si>
  <si>
    <t>资生堂百优面霜75ml</t>
  </si>
  <si>
    <t>768614212317</t>
  </si>
  <si>
    <t>资生堂蓝胖子150ml 新版</t>
  </si>
  <si>
    <t>资生堂蓝胖子150ml新版</t>
  </si>
  <si>
    <t>729238156784</t>
  </si>
  <si>
    <t>资生堂蓝胖子防晒50ml</t>
  </si>
  <si>
    <t>资生堂蓝胖子防晒老款黄字50ml</t>
  </si>
  <si>
    <t>729238212831</t>
  </si>
  <si>
    <t>资生堂蓝胖子防晒50ml（新版）</t>
  </si>
  <si>
    <t>资生堂蓝胖子防晒新版50ml</t>
  </si>
  <si>
    <t>729238212558</t>
  </si>
  <si>
    <t>资生堂琉璃洁面125ml</t>
  </si>
  <si>
    <t>729238054141</t>
  </si>
  <si>
    <t>资生堂琉璃洁面50ml新版</t>
  </si>
  <si>
    <t>729238054165</t>
  </si>
  <si>
    <t>资生堂琉璃爽肤水74ml新版</t>
  </si>
  <si>
    <t>资生堂琉璃74ml新版</t>
  </si>
  <si>
    <t>729238208506</t>
  </si>
  <si>
    <t>资生堂男生爽肤水150ml</t>
  </si>
  <si>
    <t>资生堂男士爽肤水150ml</t>
  </si>
  <si>
    <t>729238171527</t>
  </si>
  <si>
    <t>资生堂男士洁面乳125ml</t>
  </si>
  <si>
    <t>资生堂男士洁面125ml</t>
  </si>
  <si>
    <t>729238171541</t>
  </si>
  <si>
    <t>资生堂男士乳液100ml</t>
  </si>
  <si>
    <t>729238210431</t>
  </si>
  <si>
    <t>资生堂悦微清爽水150ml（新版）</t>
  </si>
  <si>
    <t>资生堂悦微清爽水150ml新版</t>
  </si>
  <si>
    <t>729238210448</t>
  </si>
  <si>
    <t>资生堂悦微滋润水150ml（新版）</t>
  </si>
  <si>
    <t>资生堂悦微滋润水150ml新版</t>
  </si>
  <si>
    <t>729238169562</t>
  </si>
  <si>
    <t>资生堂悦薇纯A小针管眼霜20ml</t>
  </si>
  <si>
    <t>资生堂悦薇小针管眼霜20ml</t>
  </si>
  <si>
    <t>729238210462</t>
  </si>
  <si>
    <t>资生堂悦薇滋润乳100ml（新版）</t>
  </si>
  <si>
    <t>资生堂悦薇滋润单乳100ml新版</t>
  </si>
  <si>
    <t>729238210455</t>
  </si>
  <si>
    <t>资生堂悦薇清爽乳100ml（新版）</t>
  </si>
  <si>
    <t>资生堂悦薇清爽单乳100ml新版</t>
  </si>
  <si>
    <t>690251021734</t>
  </si>
  <si>
    <t>祖玛珑 蓝风铃香水100ml</t>
  </si>
  <si>
    <t>祖玛珑蓝风铃香水100ml</t>
  </si>
  <si>
    <t>690251033720</t>
  </si>
  <si>
    <t>祖玛珑鼠尾草与海盐香水30ml</t>
  </si>
  <si>
    <t>3614273755122</t>
  </si>
  <si>
    <t>阿玛尼大师蓝标粉底液2#</t>
  </si>
  <si>
    <t>阿玛尼大师蓝标粉底液2号</t>
  </si>
  <si>
    <t>3614274306620</t>
  </si>
  <si>
    <t>阿玛尼权力PR0粉底 30m1#2</t>
  </si>
  <si>
    <t>阿玛尼权力PR0粉底2号</t>
  </si>
  <si>
    <t>3614274306637</t>
  </si>
  <si>
    <t>阿玛尼权力PR0粉底 30m1 #3</t>
  </si>
  <si>
    <t>阿玛尼权力PR0粉底3号</t>
  </si>
  <si>
    <t>3614273755146</t>
  </si>
  <si>
    <t>阿玛尼「大师」锁光粉底液#3</t>
  </si>
  <si>
    <t>阿玛尼大师锁光粉底液3号</t>
  </si>
  <si>
    <t>3614273325493</t>
  </si>
  <si>
    <t>阿玛尼气垫替换芯3号</t>
  </si>
  <si>
    <t>3614273868327</t>
  </si>
  <si>
    <t>兰蔻水唇釉275#</t>
  </si>
  <si>
    <t>兰蔻菁纯口红275</t>
  </si>
  <si>
    <t>3616302022489</t>
  </si>
  <si>
    <t>古驰绮梦栀子花香水50ml浓香型</t>
  </si>
  <si>
    <t>4953923308059</t>
  </si>
  <si>
    <t>POLA黑BA洁面</t>
  </si>
  <si>
    <t>3614273574976</t>
  </si>
  <si>
    <t>HR赫莲娜绿宝瓶眼霜15ml</t>
  </si>
  <si>
    <t>赫莲娜绿宝瓶眼霜15</t>
  </si>
  <si>
    <t>837601855663</t>
  </si>
  <si>
    <t>旧街场三合一经典原味白咖啡525g</t>
  </si>
  <si>
    <t>838085641787</t>
  </si>
  <si>
    <t>马来西亚旧街场三合一榛果味白咖啡525g</t>
  </si>
  <si>
    <t>旧街场三合一榛果味白咖啡525g</t>
  </si>
  <si>
    <t>633399292594</t>
  </si>
  <si>
    <t>马来西亚旧街场进口三合一速溶白咖啡低糖醇厚条装525g</t>
  </si>
  <si>
    <t>旧街场进口三合一速溶白咖啡低糖醇厚条装525g</t>
  </si>
  <si>
    <t>695215758193</t>
  </si>
  <si>
    <t>马来西亚进口OldTown旧街场白咖啡特浓浓醇三合一速溶白咖啡15条</t>
  </si>
  <si>
    <t>旧街场白咖啡15条</t>
  </si>
  <si>
    <t>634384107737</t>
  </si>
  <si>
    <t>马来西亚进口旧街场白咖啡二合一375g</t>
  </si>
  <si>
    <t>旧街场白咖啡二合一375g</t>
  </si>
  <si>
    <t>799216566606</t>
  </si>
  <si>
    <t>马来西亚旧街场进口白咖啡咸焦糖525g</t>
  </si>
  <si>
    <t>旧街场进口白咖啡咸焦糖525g</t>
  </si>
  <si>
    <t>799219486819</t>
  </si>
  <si>
    <t>马来西亚旧街场进口白咖啡微研磨375g</t>
  </si>
  <si>
    <t>旧街场进口白咖啡微研磨375g</t>
  </si>
  <si>
    <t>695215678048</t>
  </si>
  <si>
    <t>马来西亚OLDTOWN进口白咖啡天然庶糖540g</t>
  </si>
  <si>
    <t>旧街场进口白咖啡天然庶糖540g</t>
  </si>
  <si>
    <t>4935421708654</t>
  </si>
  <si>
    <t>植村秀持久保湿定妆喷雾100ml</t>
  </si>
  <si>
    <t>植村秀定妆喷雾100ml</t>
  </si>
  <si>
    <t>4979006101416</t>
  </si>
  <si>
    <t>SK2大红瓶面霜80g滋润</t>
  </si>
  <si>
    <t>3350900000011</t>
  </si>
  <si>
    <t>Embryolisse 大宝妆前乳75ml 法国进口</t>
  </si>
  <si>
    <t>法国大宝妆前乳75</t>
  </si>
  <si>
    <t>887167381872</t>
  </si>
  <si>
    <t>雅诗兰黛红石榴洁面125ml</t>
  </si>
  <si>
    <t>红石榴洁面125</t>
  </si>
  <si>
    <t>729238224469</t>
  </si>
  <si>
    <t>资生堂/SHISEIDO红腰子精华（新版）75ml</t>
  </si>
  <si>
    <t>红腰子精华新版75</t>
  </si>
  <si>
    <t>729238212565</t>
  </si>
  <si>
    <t>资生堂/ SHISEIDO时光大琉璃水（新版）170ml</t>
  </si>
  <si>
    <t>资生堂琉璃水170</t>
  </si>
  <si>
    <t>729238210240</t>
  </si>
  <si>
    <t>资生堂/SHISEIDO悦薇大抗糖面霜（清爽）50ml</t>
  </si>
  <si>
    <t>悦薇抗糖面霜清爽50</t>
  </si>
  <si>
    <t>729238054202</t>
  </si>
  <si>
    <t>资生堂/SHISEIDO琉璃晚霜15ml（新版）</t>
  </si>
  <si>
    <t>资生堂琉璃晚霜新版15</t>
  </si>
  <si>
    <t>729238103207</t>
  </si>
  <si>
    <t>资生堂/SHISEIDO百优面霜50ml</t>
  </si>
  <si>
    <t>资生堂百优面霜50</t>
  </si>
  <si>
    <t>8011003861903</t>
  </si>
  <si>
    <t>范思哲 爱罗斯爱神男士香水 50ml EDP</t>
  </si>
  <si>
    <t>范思哲爱神男士香水50ml</t>
  </si>
  <si>
    <t>8011003861408</t>
  </si>
  <si>
    <t>范思哲 爱罗斯爱神男士香水 100ml EDP 简装</t>
  </si>
  <si>
    <t>范思哲爱神男士香水100ml简装</t>
  </si>
  <si>
    <t>8011003996766</t>
  </si>
  <si>
    <t>范思哲 追梦人男士淡香水 100ml EDT</t>
  </si>
  <si>
    <t>范思哲追梦人男士淡香水100ml</t>
  </si>
  <si>
    <t>3614226904997</t>
  </si>
  <si>
    <t>博柏利 新伦敦男士淡香水 50ml EDT</t>
  </si>
  <si>
    <t>博柏利新伦敦男士淡香水50ml</t>
  </si>
  <si>
    <t>031655644295</t>
  </si>
  <si>
    <t>CK Man男士香水 50ml EDT</t>
  </si>
  <si>
    <t>CK男士香水50ml</t>
  </si>
  <si>
    <t>3607340213267</t>
  </si>
  <si>
    <t>CK 绝色美丽女士香水 100ml EDP 黄色</t>
  </si>
  <si>
    <t>CK绝色美丽女士香水100ml</t>
  </si>
  <si>
    <t>8011530840006</t>
  </si>
  <si>
    <t>杜鲁萨迪 雅逸玫瑰女士香水 30ml EDT</t>
  </si>
  <si>
    <t>杜鲁萨迪雅逸玫瑰女士香水30ml</t>
  </si>
  <si>
    <t>3614228174237</t>
  </si>
  <si>
    <t>大卫杜夫 冷水男士香水 75ml EDP 加强版</t>
  </si>
  <si>
    <t>大卫杜夫冷水男士香水75ml</t>
  </si>
  <si>
    <t>737052925073</t>
  </si>
  <si>
    <t>古驰 竹韵女士香水浓香型50ml</t>
  </si>
  <si>
    <t>3380810463170</t>
  </si>
  <si>
    <t>娇韵诗 双萃眼霜 20ml</t>
  </si>
  <si>
    <t>娇韵诗双萃眼霜20ml</t>
  </si>
  <si>
    <t>3666057202506</t>
  </si>
  <si>
    <t>娇韵诗 双萃新版第9代 75ml</t>
  </si>
  <si>
    <t>娇韵诗双萃新版第9代75ml</t>
  </si>
  <si>
    <t>3666057216503</t>
  </si>
  <si>
    <t>娇韵诗 棉花籽洁面 125ml 新版</t>
  </si>
  <si>
    <t>娇韵诗棉花籽洁面125ml新版</t>
  </si>
  <si>
    <t>3666057031076</t>
  </si>
  <si>
    <t>娇韵诗 抚纹油 100ml</t>
  </si>
  <si>
    <t>娇韵诗抚纹油100ml</t>
  </si>
  <si>
    <t>3666057202445</t>
  </si>
  <si>
    <t>娇韵诗 双萃新版第9代 30ml</t>
  </si>
  <si>
    <t>娇韵诗双萃新版第9代 30ml</t>
  </si>
  <si>
    <t>3253581993033</t>
  </si>
  <si>
    <t>欧舒丹樱花护手霜三支装</t>
  </si>
  <si>
    <t>欧舒丹樱花护手霜75ml*3三支装</t>
  </si>
  <si>
    <t>3253581768334</t>
  </si>
  <si>
    <t>欧舒丹乳木果身体乳250ml</t>
  </si>
  <si>
    <t>3253581771013</t>
  </si>
  <si>
    <t>欧舒丹玫瑰身体乳250ml</t>
  </si>
  <si>
    <t>747930095903</t>
  </si>
  <si>
    <t>海蓝之谜洁面125ml</t>
  </si>
  <si>
    <t>729238171640</t>
  </si>
  <si>
    <t>CPB滋润洗面奶125ml</t>
  </si>
  <si>
    <t>729238181786</t>
  </si>
  <si>
    <t>CPB美白短管隔离30ml</t>
  </si>
  <si>
    <t>8000500012499</t>
  </si>
  <si>
    <t>FERRERO ROCHER 费列罗榛果巧克力制品T30</t>
  </si>
  <si>
    <t>FERRERO ROCHER 费列罗榛果巧克力制品T30 30粒</t>
  </si>
  <si>
    <t>887167381735</t>
  </si>
  <si>
    <t>红石榴面霜50ml 旧版</t>
  </si>
  <si>
    <t>3614274226515</t>
  </si>
  <si>
    <t>圣罗兰爱心黑管唇釉620</t>
  </si>
  <si>
    <t>4936968808371</t>
  </si>
  <si>
    <t>圣罗兰黑色皮革气垫B10</t>
  </si>
  <si>
    <t>4936968808494</t>
  </si>
  <si>
    <t>圣罗兰黑色皮革气垫替换装B10</t>
  </si>
  <si>
    <t>3614274140637</t>
  </si>
  <si>
    <t>兰蔻菁纯粉底液100</t>
  </si>
  <si>
    <t>4979006644029</t>
  </si>
  <si>
    <t>SK2骨胶原乳液100g</t>
  </si>
  <si>
    <t>4979006070132</t>
  </si>
  <si>
    <t>SK2清莹露230ml</t>
  </si>
  <si>
    <t>4979006084610</t>
  </si>
  <si>
    <t>SK2立体修护眼霜15g两瓶装</t>
  </si>
  <si>
    <t>SK2立体修护眼霜15g*2</t>
  </si>
  <si>
    <t>4979006116519</t>
  </si>
  <si>
    <t>SK2小灯泡50ml两瓶装（25年款）</t>
  </si>
  <si>
    <t>SK2小灯泡50ml*2（25年款）</t>
  </si>
  <si>
    <t>3614274173000</t>
  </si>
  <si>
    <t>碧欧泉男士水动力乳液100ml</t>
  </si>
  <si>
    <t>4894374492372</t>
  </si>
  <si>
    <t>植村秀绿茶卸妆油450ml两瓶装</t>
  </si>
  <si>
    <t>植村秀绿茶卸妆油450ml*2</t>
  </si>
  <si>
    <t>3365440680111</t>
  </si>
  <si>
    <t>圣罗兰女神逆龄粉底液B20</t>
  </si>
  <si>
    <t>4894374627996</t>
  </si>
  <si>
    <t>兰蔻菁纯眼霜20ml两瓶装</t>
  </si>
  <si>
    <t>兰蔻菁纯眼霜20ml*2</t>
  </si>
  <si>
    <t>3614274142334</t>
  </si>
  <si>
    <t>兰蔻第三代肌底液100ml</t>
  </si>
  <si>
    <t>3605972549686</t>
  </si>
  <si>
    <t>衰败城市牛郎眼影</t>
  </si>
  <si>
    <t>3346470616172</t>
    <phoneticPr fontId="2" type="noConversion"/>
  </si>
  <si>
    <t>娇兰帝皇蜂姿第三代黄金复原蜜50ML</t>
  </si>
  <si>
    <t>娇兰第三代复原蜜50ml</t>
  </si>
  <si>
    <t>3346470619289</t>
    <phoneticPr fontId="2" type="noConversion"/>
  </si>
  <si>
    <t>3346130009610</t>
  </si>
  <si>
    <t>爱马仕大地淡香水50ml</t>
  </si>
  <si>
    <t>8809949494695</t>
  </si>
  <si>
    <t>苏秘气垫1号</t>
  </si>
  <si>
    <t>苏秘呼吸惊喜水分气垫单个</t>
  </si>
  <si>
    <t>887167381926</t>
  </si>
  <si>
    <t>雅诗兰黛 鲜活亮采红石榴倍润水 200ml</t>
  </si>
  <si>
    <t>雅诗兰黛红石榴倍润水200ml</t>
  </si>
  <si>
    <t>3614273984454</t>
  </si>
  <si>
    <t>YSL圣罗兰夜皇后50ml</t>
  </si>
  <si>
    <t>圣罗兰夜皇后精华50ml</t>
  </si>
  <si>
    <t>3614274403183</t>
  </si>
  <si>
    <t>YSL圣罗兰恒久粉底液25年新款粉盖LC1</t>
  </si>
  <si>
    <t>圣罗兰恒久粉底液粉盖LC1</t>
  </si>
  <si>
    <t>3614274403213</t>
  </si>
  <si>
    <t>YSL圣罗兰恒久粉底液25年新款粉盖LC2</t>
  </si>
  <si>
    <t>圣罗兰恒久粉底液粉盖LC2</t>
  </si>
  <si>
    <t>4894374641329</t>
  </si>
  <si>
    <t>兰蔻小白管轻适水漾防晒乳 50ml*2</t>
  </si>
  <si>
    <t>兰蔻小白管清爽防晒50ml*2</t>
  </si>
  <si>
    <t>4935421768580</t>
  </si>
  <si>
    <t>圣罗兰 明彩粉光轻垫粉底液 粉气垫 #B20 CN</t>
  </si>
  <si>
    <t>YSL粉气垫B20</t>
  </si>
  <si>
    <t>729238170131</t>
  </si>
  <si>
    <t>资生堂蓝胖子防晒50ml对装</t>
  </si>
  <si>
    <t>3614273557931</t>
  </si>
  <si>
    <t xml:space="preserve">阿玛尼权力PR0粉底1.5 30ml </t>
  </si>
  <si>
    <t>3614274308464</t>
  </si>
  <si>
    <t>兰蔻小黑瓶眼霜20ml</t>
  </si>
  <si>
    <t>4894374530098</t>
  </si>
  <si>
    <t>HR赫莲娜绿眼霜对装</t>
  </si>
  <si>
    <t>HR赫莲娜绿眼霜对装15ml*2</t>
  </si>
  <si>
    <t>3616302514281</t>
  </si>
  <si>
    <t>古驰花悦绽放女士淡香型香水50ml</t>
  </si>
  <si>
    <t>773602664795</t>
  </si>
  <si>
    <t>MAC无瑕粉底液N11 2.0</t>
  </si>
  <si>
    <t>773602643554</t>
  </si>
  <si>
    <t>MAC无瑕粉底液N18 2.0</t>
  </si>
  <si>
    <t>773602664764</t>
  </si>
  <si>
    <t>MAC无瑕粉底液NC11 2.0</t>
  </si>
  <si>
    <t>3274872498105</t>
  </si>
  <si>
    <t>纪梵希四宫格散粉1号色（新版）</t>
  </si>
  <si>
    <t>纪梵希四宫格散粉1号（新版）</t>
  </si>
  <si>
    <t>4971710570069</t>
  </si>
  <si>
    <t>黛珂牛油果乳液300ml*2</t>
  </si>
  <si>
    <t>729238171657</t>
  </si>
  <si>
    <t>CPB肌肤之钥清爽洁面125ML</t>
  </si>
  <si>
    <t>CPB清爽洁面125ML</t>
  </si>
  <si>
    <t>3616305275745</t>
  </si>
  <si>
    <t>GUCCI绮梦馥栀100ML</t>
  </si>
  <si>
    <t>8005610481005</t>
  </si>
  <si>
    <t>GUCCI花悦绽放100ML浓香</t>
  </si>
  <si>
    <t>3616303470791</t>
  </si>
  <si>
    <t>GUCCI绮梦木兰100ML浓香型</t>
  </si>
  <si>
    <t>3616302022472</t>
  </si>
  <si>
    <t>GUCCI绮梦栀子花100ML浓香型</t>
  </si>
  <si>
    <t>3616305169273</t>
  </si>
  <si>
    <t>GUCCI绮梦香草兰香100ml</t>
  </si>
  <si>
    <t>3616305169266</t>
  </si>
  <si>
    <t>GUCCI绮梦香草兰香50ml</t>
  </si>
  <si>
    <t>3474636728268</t>
  </si>
  <si>
    <t>Kerastase卡诗黑钻鱼子酱洗发水250ml</t>
  </si>
  <si>
    <t>卡诗黑钻鱼子酱洗发水250ml</t>
  </si>
  <si>
    <t>3614270443725</t>
  </si>
  <si>
    <t>Helena Rubinstein 赫莲娜 绿宝瓶新肌水400ml</t>
  </si>
  <si>
    <t>赫莲娜绿宝瓶新肌水400ml</t>
  </si>
  <si>
    <t>3614270443671</t>
  </si>
  <si>
    <t>Helena Rubinstein 赫莲娜 绿宝瓶新肌水200ml</t>
  </si>
  <si>
    <t>赫莲娜绿宝瓶新肌水200ml</t>
  </si>
  <si>
    <t>4979006116465</t>
  </si>
  <si>
    <t>SK-II光子小灯泡精华露50ml</t>
  </si>
  <si>
    <t>SK2光子小灯泡精华露50ml</t>
  </si>
  <si>
    <t>4979006090925</t>
  </si>
  <si>
    <t>SK-II晶致美肤乳液100g</t>
  </si>
  <si>
    <t>SK2晶致美肤乳液100g</t>
  </si>
  <si>
    <t>4979006064766</t>
  </si>
  <si>
    <t>SKII女士洗面奶120g/支</t>
  </si>
  <si>
    <t>SK2女士洗面奶120g</t>
  </si>
  <si>
    <t>4979006595840</t>
    <phoneticPr fontId="2" type="noConversion"/>
  </si>
  <si>
    <t>SK-II前男友面膜10片装</t>
  </si>
  <si>
    <t>SK2前男友面膜10片装</t>
  </si>
  <si>
    <t>4979006090956</t>
    <phoneticPr fontId="2" type="noConversion"/>
  </si>
  <si>
    <t>4979006101355</t>
  </si>
  <si>
    <t>SKII大红瓶面霜80g清爽</t>
  </si>
  <si>
    <t>SK2大红瓶面霜80g清爽</t>
  </si>
  <si>
    <t>194251130736</t>
  </si>
  <si>
    <t>NARS空气唇釉GIPSY吉普赛</t>
  </si>
  <si>
    <t>NARS空气唇釉GIPSY</t>
  </si>
  <si>
    <t>8801051268683</t>
  </si>
  <si>
    <t>后Whoo天气丹PRO乳110ML</t>
  </si>
  <si>
    <t>后天气丹PRO单乳110ML</t>
  </si>
  <si>
    <t>8801051582710</t>
  </si>
  <si>
    <t>后拱辰享美黄金气垫13G+替换装13G</t>
  </si>
  <si>
    <t>888066119764</t>
  </si>
  <si>
    <t>TOMFORD幻魅四色眼影盘 #35 玫瑰晶石</t>
  </si>
  <si>
    <t>TOMFORD幻魅四色眼影盘#35</t>
  </si>
  <si>
    <t>4979006085747</t>
  </si>
  <si>
    <t>SK-II小灯泡新版50ml</t>
  </si>
  <si>
    <t>SK2小灯泡新版50ml</t>
  </si>
  <si>
    <t>4979006116397</t>
  </si>
  <si>
    <t>SKII光子小灯泡75ml</t>
  </si>
  <si>
    <t>SK2光子小灯泡75ml</t>
  </si>
  <si>
    <t>4979006028379</t>
  </si>
  <si>
    <t>SKII洁面油250ml</t>
  </si>
  <si>
    <t>SK2洁面油250ml</t>
  </si>
  <si>
    <t>3274872455153</t>
  </si>
  <si>
    <t>纪梵希粉丝绒N37</t>
  </si>
  <si>
    <t>纪梵希粉丝绒口红N37</t>
  </si>
  <si>
    <t>3614274226485</t>
  </si>
  <si>
    <t>圣罗兰爱心黑管唇釉440</t>
  </si>
  <si>
    <t>887167636361</t>
  </si>
  <si>
    <t>雅诗兰黛红石榴洁面125ml两支装</t>
  </si>
  <si>
    <t>887167636439</t>
  </si>
  <si>
    <t>雅诗兰黛红石榴水200ml两支装</t>
  </si>
  <si>
    <t>4979006096880</t>
  </si>
  <si>
    <t>SK2小银瓶50ml两瓶装</t>
  </si>
  <si>
    <t>4979006101409</t>
  </si>
  <si>
    <t>SK2大红瓶滋润面霜50g</t>
  </si>
  <si>
    <t>809280018572</t>
  </si>
  <si>
    <t>馥蕾诗西柚香皂</t>
  </si>
  <si>
    <t>809280153266</t>
  </si>
  <si>
    <t>馥蕾诗玫瑰花瓣水400ml</t>
  </si>
  <si>
    <t>809280158353</t>
  </si>
  <si>
    <t>馥蕾诗红茶紧致面霜50ml</t>
  </si>
  <si>
    <t>馥蕾诗红茶紧致面霜50ml</t>
    <phoneticPr fontId="2" type="noConversion"/>
  </si>
  <si>
    <t>809280164279</t>
  </si>
  <si>
    <t>馥蕾诗睡莲日霜50ml</t>
  </si>
  <si>
    <t>809280169472</t>
  </si>
  <si>
    <t>馥蕾诗玫瑰保湿面霜50ml两瓶装</t>
  </si>
  <si>
    <t>809280018565</t>
  </si>
  <si>
    <t>馥蕾诗小苍兰香皂</t>
  </si>
  <si>
    <t>887167464179</t>
  </si>
  <si>
    <t>雅诗兰黛白金粉底液1W0</t>
  </si>
  <si>
    <t>809280160356</t>
  </si>
  <si>
    <t>馥蕾诗红茶精粹水250ml</t>
  </si>
  <si>
    <t>887167456709</t>
  </si>
  <si>
    <t>雅诗兰黛白金粉底液1CO</t>
  </si>
  <si>
    <t>3666057023361</t>
  </si>
  <si>
    <t>娇韵诗美白滋润水200ml</t>
  </si>
  <si>
    <t>3666057272721</t>
  </si>
  <si>
    <t>娇韵诗焕颜紧致晚霜50ml</t>
  </si>
  <si>
    <t>887167539556</t>
  </si>
  <si>
    <t>雅诗兰黛多效智妍乳霜75ml清爽</t>
  </si>
  <si>
    <t>3614273567305</t>
  </si>
  <si>
    <t>马丁马吉拉慵懒周末身体乳200ml</t>
  </si>
  <si>
    <t>3614274004489</t>
  </si>
  <si>
    <t>兰蔻养肤水粉底液 PO-01 30ml</t>
  </si>
  <si>
    <t>3700194719104</t>
  </si>
  <si>
    <t>科颜氏男士乳液125ml</t>
  </si>
  <si>
    <t>3605972453211</t>
  </si>
  <si>
    <t>科颜氏果冻清爽高保湿霜50ml/瓶</t>
  </si>
  <si>
    <t>科颜氏果冻清爽高保湿霜50ml</t>
  </si>
  <si>
    <t>3666057202520</t>
  </si>
  <si>
    <t>娇韵诗第九代全新双萃焕活修护精华 100ML</t>
  </si>
  <si>
    <t>娇韵诗第九代双萃焕活修护精华100ML</t>
  </si>
  <si>
    <t>4909978124410</t>
  </si>
  <si>
    <t>资生堂安耐晒90ml</t>
  </si>
  <si>
    <t>4909978148324</t>
  </si>
  <si>
    <t>安耐晒金钻高效防晒90ml</t>
  </si>
  <si>
    <t>887167557345</t>
  </si>
  <si>
    <t>雅诗兰黛樱花微精华原生液400ml</t>
  </si>
  <si>
    <t>雅诗兰黛樱花原生液400ml</t>
  </si>
  <si>
    <t xml:space="preserve">3614272140103 </t>
  </si>
  <si>
    <t>圣罗兰小金条细管口红21号复古正红色</t>
  </si>
  <si>
    <t>圣罗兰小金条21号色</t>
  </si>
  <si>
    <t>716170225401</t>
  </si>
  <si>
    <t>芭比布朗舒缓卸妆洁面油200ml</t>
  </si>
  <si>
    <t>芭比布朗洁面油200ml</t>
  </si>
  <si>
    <t>3380810404722</t>
  </si>
  <si>
    <t>娇韵诗双萃焕活修护精华露100ml</t>
  </si>
  <si>
    <t>娇韵诗双萃修护精华露100ml</t>
  </si>
  <si>
    <t xml:space="preserve">3614273831215 </t>
  </si>
  <si>
    <t>阿玛尼权力口红410色</t>
  </si>
  <si>
    <t>阿玛尼权力口红410</t>
  </si>
  <si>
    <t xml:space="preserve">3614273946902 </t>
  </si>
  <si>
    <t>YSL圣罗兰黑金方管13色</t>
  </si>
  <si>
    <t>圣罗兰黑金方管13</t>
  </si>
  <si>
    <t xml:space="preserve">3614273946919 </t>
  </si>
  <si>
    <t>YSL圣罗兰黑金方管14色</t>
  </si>
  <si>
    <t>圣罗兰黑金方管14</t>
  </si>
  <si>
    <t xml:space="preserve">3614273946896 </t>
  </si>
  <si>
    <t>YSL圣罗兰黑金方管1968</t>
  </si>
  <si>
    <t>圣罗兰黑金方管1968</t>
  </si>
  <si>
    <t xml:space="preserve">4935421761734 </t>
  </si>
  <si>
    <t>YSL圣罗兰银管02色</t>
  </si>
  <si>
    <t>圣罗兰银管02</t>
  </si>
  <si>
    <t xml:space="preserve">20714598907 </t>
  </si>
  <si>
    <t>倩碧有油润肤乳125ml</t>
  </si>
  <si>
    <t>747930140054</t>
  </si>
  <si>
    <t>海蓝之谜 臻璨焕活精华油30ml （万能油）</t>
  </si>
  <si>
    <t>海蓝之谜万能油30ML</t>
  </si>
  <si>
    <t>4979006113136</t>
  </si>
  <si>
    <t>SK2大红瓶清爽版80g</t>
  </si>
  <si>
    <t>4979006113044</t>
  </si>
  <si>
    <t>SK2大红瓶滋润版80g</t>
  </si>
  <si>
    <t>887167610637</t>
  </si>
  <si>
    <t>雅诗兰黛ESTEE LAUDER新版红石榴能量水清爽型 200ML</t>
  </si>
  <si>
    <t>雅诗兰黛新版红石榴水清爽200ml</t>
  </si>
  <si>
    <t>4979006120806</t>
  </si>
  <si>
    <t>SK-II 小银瓶精华50ML</t>
  </si>
  <si>
    <t>sk2小银瓶50ml</t>
  </si>
  <si>
    <t>3605521490919</t>
  </si>
  <si>
    <t>阿玛尼大师粉底液2号</t>
  </si>
  <si>
    <t>3614274169706</t>
  </si>
  <si>
    <t>Lancome兰蔻美丽人生馥郁版100ml</t>
  </si>
  <si>
    <t>兰蔻 美丽人生 馥郁100</t>
  </si>
  <si>
    <t>3614274169713</t>
  </si>
  <si>
    <t>Lancome兰蔻美丽人生馥郁版50ml</t>
  </si>
  <si>
    <t>兰蔻 美丽人生 馥郁50</t>
  </si>
  <si>
    <t>3614274169690</t>
  </si>
  <si>
    <t>兰蔻 美丽人生香氛精华香水 50ml</t>
  </si>
  <si>
    <t>兰蔻 美丽人生 淡香50</t>
  </si>
  <si>
    <t>3614272629400</t>
  </si>
  <si>
    <t>Lancome/兰蔻是我IDOLE偶像香水 50ml</t>
  </si>
  <si>
    <t>兰蔻 是我IDOLE偶像 50</t>
  </si>
  <si>
    <t>3614274299229</t>
  </si>
  <si>
    <t>Lancome 兰蔻是我 浓情版 100ml</t>
  </si>
  <si>
    <t>兰蔻 是我 浓100</t>
  </si>
  <si>
    <t xml:space="preserve">3616303048181 </t>
  </si>
  <si>
    <t>GUCCI 香水 茉莉100ML</t>
  </si>
  <si>
    <t>古驰绮梦茉莉100</t>
  </si>
  <si>
    <t xml:space="preserve">3346132600013 </t>
  </si>
  <si>
    <t>李先生的花园(Le Jardin de Monsieur Li)，淡香水，100 ml</t>
  </si>
  <si>
    <t>爱马仕 李先生的花园 淡香100</t>
  </si>
  <si>
    <t xml:space="preserve">3346130009382 </t>
  </si>
  <si>
    <t>绯红火参古龙水（Eau de rhubarbe écarlate）, 古龍水, 100 ml</t>
  </si>
  <si>
    <t>爱马仕 绯红火参 100</t>
  </si>
  <si>
    <t xml:space="preserve">194251133737 </t>
  </si>
  <si>
    <t>NARS小粉金细管唇膏1.5G #321 Turned on</t>
  </si>
  <si>
    <t>NARS小粉金细管唇膏#321 Turned on</t>
  </si>
  <si>
    <t xml:space="preserve">773602684854 </t>
  </si>
  <si>
    <t>MAC 丝柔哑光唇膏 #646 MARRAKESH 肉桂红茶</t>
  </si>
  <si>
    <t>MAC 646 MARRAKESH</t>
  </si>
  <si>
    <t xml:space="preserve">747930094869 </t>
  </si>
  <si>
    <t>LAMER海蓝之谜调理焕肤液100ml</t>
  </si>
  <si>
    <t>海蓝之谜 调理焕肤液100</t>
  </si>
  <si>
    <t xml:space="preserve">773602710683 </t>
  </si>
  <si>
    <t>MAC魅可保湿定妆喷雾Fix+100mL</t>
  </si>
  <si>
    <t>MAC保湿定妆喷雾Fix+ 100</t>
  </si>
  <si>
    <t xml:space="preserve">773602455942 </t>
  </si>
  <si>
    <t>MAC妆前保湿精华乳100ML</t>
  </si>
  <si>
    <t xml:space="preserve">773602643387 </t>
  </si>
  <si>
    <t>MAC 无暇粉底液NC12 30ML</t>
  </si>
  <si>
    <t xml:space="preserve">887167610620 </t>
  </si>
  <si>
    <t>雅诗兰黛 红石榴面霜50ml</t>
  </si>
  <si>
    <t xml:space="preserve">887167610606 </t>
  </si>
  <si>
    <t>雅诗兰黛 红石榴洁面125ml</t>
  </si>
  <si>
    <t xml:space="preserve">729238145290 </t>
  </si>
  <si>
    <t>资生堂/SHISEIDO红腰子洁面125ml</t>
  </si>
  <si>
    <t>资生堂红腰子洁面125ml</t>
  </si>
  <si>
    <t xml:space="preserve">729238222823 </t>
  </si>
  <si>
    <t>资生堂/SHISEIDO悦薇抗糖眼霜（新版）15ml</t>
  </si>
  <si>
    <t>资生堂悦薇抗糖眼霜新15ml</t>
  </si>
  <si>
    <t xml:space="preserve">729238208575 </t>
  </si>
  <si>
    <t>资生堂/SHISEIDO盼丽风姿眼霜（新款）15ml</t>
  </si>
  <si>
    <t>资生堂盼丽风姿眼霜新15ml</t>
  </si>
  <si>
    <t xml:space="preserve">887167495203 </t>
  </si>
  <si>
    <t>ESTEE LAUDER /雅诗兰黛 DW持妆粉底液 #1C1 30ML 新版 2026年</t>
  </si>
  <si>
    <t>雅诗兰黛 DW持妆粉底液 #1C1 30ML 新</t>
  </si>
  <si>
    <t xml:space="preserve">887167495586 </t>
  </si>
  <si>
    <t>ESTEE LAUDER /雅诗兰黛 DW持妆粉底液 #1N2 30ML 新版 2026</t>
  </si>
  <si>
    <t>雅诗兰黛 DW持妆粉底液 #1N2 30ML 新</t>
  </si>
  <si>
    <t xml:space="preserve">887167495241 </t>
  </si>
  <si>
    <t>ESTEE LAUDER /雅诗兰黛 DW持妆粉底液 #1N1 30ML 新版 2026</t>
  </si>
  <si>
    <t>雅诗兰黛 DW持妆粉底液 #1N1 30ML 新</t>
  </si>
  <si>
    <t xml:space="preserve">773602685530 </t>
  </si>
  <si>
    <t>MAC魅可 丝柔哑光唇膏 大子弹口红#666 Sweet Deal 玫瑰冷萃</t>
  </si>
  <si>
    <t>MAC大子弹口红666</t>
  </si>
  <si>
    <t xml:space="preserve">8809803564977 </t>
  </si>
  <si>
    <t>Laneige Skin Veil Base_EX No.40 30ml紫色</t>
  </si>
  <si>
    <t>兰芝马卡龙隔离30ml紫色</t>
  </si>
  <si>
    <t xml:space="preserve">8809803564984 </t>
  </si>
  <si>
    <t>Laneige Skin Veil Base_EX No.60 30ml绿色</t>
  </si>
  <si>
    <t>兰芝马卡龙隔离30ml绿色</t>
  </si>
  <si>
    <t xml:space="preserve">729238209978 </t>
  </si>
  <si>
    <t>资生堂 悦薇大抗糖滋润面霜（新款）50mL</t>
  </si>
  <si>
    <t>资生堂悦薇抗糖滋润面霜新50mL</t>
  </si>
  <si>
    <t xml:space="preserve">607845058946 </t>
  </si>
  <si>
    <t>NARS蜜粉饼5894 效期24年</t>
  </si>
  <si>
    <t>NARS大白蜜粉饼5894</t>
  </si>
  <si>
    <t xml:space="preserve">8809949538658 </t>
  </si>
  <si>
    <t>WHOO/后拱辰享洁面泡沫180ml/支 （新条码）</t>
  </si>
  <si>
    <t>后拱辰享洁面泡沫180ml新</t>
  </si>
  <si>
    <t xml:space="preserve">729238224490 </t>
  </si>
  <si>
    <t>SHISEIDO资生堂红腰子精华100ml</t>
  </si>
  <si>
    <t>资生堂红腰子精华100ml</t>
  </si>
  <si>
    <t xml:space="preserve">3614229391596 </t>
  </si>
  <si>
    <t>古驰炼金师花园香草颂香水100ML</t>
  </si>
  <si>
    <t>古驰炼金术香草颂100ML</t>
  </si>
  <si>
    <t xml:space="preserve">3616305169372 </t>
  </si>
  <si>
    <t>古驰炼金师花园沐光橙香水100ML</t>
  </si>
  <si>
    <t>古驰炼金术沐光橙100ML</t>
  </si>
  <si>
    <t xml:space="preserve">3605521932105 </t>
  </si>
  <si>
    <t>马丁马吉拉-爵士酒廊淡香100ml</t>
  </si>
  <si>
    <t>马丁马吉拉爵士酒廊淡香100ml</t>
  </si>
  <si>
    <t xml:space="preserve">3614274226478 </t>
  </si>
  <si>
    <t>YSL新款爱心唇釉610#</t>
  </si>
  <si>
    <t>YSL爱心唇釉610新</t>
  </si>
  <si>
    <t xml:space="preserve">783320425004 </t>
  </si>
  <si>
    <t>宝格丽白茶淡香150ml</t>
  </si>
  <si>
    <t xml:space="preserve">4935421773249 </t>
  </si>
  <si>
    <t>植村秀绿茶卸妆油150ml</t>
  </si>
  <si>
    <t xml:space="preserve">194251132068 </t>
  </si>
  <si>
    <t>NARS 水光绚色液体腮红 西柚奶桃 BRAZEN 7ml</t>
  </si>
  <si>
    <t>NARS 液体腮红BRAZEN 西柚奶桃7ml</t>
  </si>
  <si>
    <t xml:space="preserve">194251132037 </t>
  </si>
  <si>
    <t>NARS 水光绚色液体腮红 烟粉豆沙色 BEHAVE 7ml</t>
  </si>
  <si>
    <t>NARS液体腮红 BEHAVE烟粉豆沙色 7ml</t>
  </si>
  <si>
    <t xml:space="preserve">690251145607 </t>
  </si>
  <si>
    <t>Jo Malone祖玛珑英国梨与豌豆花香水30ml</t>
  </si>
  <si>
    <t>祖玛珑英国梨与豌豆花香水30ml</t>
  </si>
  <si>
    <t xml:space="preserve">4894374746444 </t>
  </si>
  <si>
    <t>兰蔻清爽防晒双支装50ml*2 新版</t>
  </si>
  <si>
    <t>兰蔻清爽防晒双支装50ml对装新</t>
  </si>
  <si>
    <t xml:space="preserve">3616305910578 </t>
  </si>
  <si>
    <t>古驰炼金师花园狮之心香水100ML</t>
  </si>
  <si>
    <t>古驰炼金术狮之心100ML</t>
  </si>
  <si>
    <t xml:space="preserve">3616305261816 </t>
  </si>
  <si>
    <t>古驰炼金师花园桂之舞香水100ML</t>
  </si>
  <si>
    <t>古驰炼金术桂之舞100ML</t>
  </si>
  <si>
    <t xml:space="preserve">194251132075 </t>
  </si>
  <si>
    <t>NARS AFTERGLOW LIQUID BLUSH - INSATIABLE</t>
  </si>
  <si>
    <t>NARS液体腮红 INSATIABLE</t>
  </si>
  <si>
    <t xml:space="preserve">194251146317 </t>
  </si>
  <si>
    <t>NARS THE MULTIPLE TRANCE 8G</t>
  </si>
  <si>
    <t>NARS多功能腮红棒TRANCE 8G</t>
  </si>
  <si>
    <t xml:space="preserve">194251151052 </t>
  </si>
  <si>
    <t>NARS THE MULTIPLE HOT TAKE 8G</t>
  </si>
  <si>
    <t>NARS多用腮红棒欲焰HOT TAKE 8G</t>
  </si>
  <si>
    <t xml:space="preserve">194251146249 </t>
  </si>
  <si>
    <t>NARS THE MULTIPLE SEX APPEAL 8G</t>
  </si>
  <si>
    <t>NARS多用腮红棒爱欲SEX APPEAL 8G</t>
  </si>
  <si>
    <t xml:space="preserve">194251132051 </t>
  </si>
  <si>
    <t>NARS AFTER GLOW LIQUID BLUSH -WANDERLUST 7ML</t>
  </si>
  <si>
    <t>NARS小粉金液体腮红WANDERLUST 7ML</t>
  </si>
  <si>
    <t xml:space="preserve">737052925127 </t>
  </si>
  <si>
    <t>古驰竹韵浓香75ml</t>
  </si>
  <si>
    <t xml:space="preserve">6941594582869 </t>
  </si>
  <si>
    <t>欧莱雅紫熨斗30ml 第三代</t>
  </si>
  <si>
    <t>规格</t>
  </si>
  <si>
    <t>价格范围（最高）</t>
  </si>
  <si>
    <t>价格范围（最低）</t>
  </si>
  <si>
    <t>192333095164</t>
  </si>
  <si>
    <t xml:space="preserve">倩碧水嫩保湿三件套裝 </t>
  </si>
  <si>
    <t>粉霜125ml+眼霜15ml+喷雾30ml</t>
  </si>
  <si>
    <t>3346130415558</t>
  </si>
  <si>
    <t>爱马仕橘绿套盒</t>
  </si>
  <si>
    <t>爱马仕橘绿两件套</t>
  </si>
  <si>
    <t>香水100ml+沐浴露80ml</t>
  </si>
  <si>
    <t>3346130415565</t>
  </si>
  <si>
    <t>爱马仕尼罗河套盒</t>
  </si>
  <si>
    <t>淡香100ml+身体乳80ml</t>
  </si>
  <si>
    <t>3380810156232</t>
  </si>
  <si>
    <t>娇韵诗 多元日晚面霜套装</t>
  </si>
  <si>
    <t>娇韵诗多元日晚面霜套装</t>
  </si>
  <si>
    <t>青春赋活日霜50ml+晚霜50ml</t>
  </si>
  <si>
    <t>3380810475364</t>
  </si>
  <si>
    <t>娇韵诗双萃眼霜紧致两件套</t>
  </si>
  <si>
    <t>双萃精华50ml+双萃眼霜20ml</t>
  </si>
  <si>
    <t>3660732534951</t>
  </si>
  <si>
    <t>赫莲娜 黑白绷带日晚面霜套装</t>
  </si>
  <si>
    <t>赫莲娜黑白绷带两件套</t>
  </si>
  <si>
    <t>日霜50ML+晚霜50ML</t>
  </si>
  <si>
    <t>3666057027000</t>
  </si>
  <si>
    <t>娇韵诗 弹簧两件套</t>
  </si>
  <si>
    <t>娇韵诗弹簧两件套</t>
  </si>
  <si>
    <t>日霜50ml+晚霜50ml</t>
  </si>
  <si>
    <t>3666057040092</t>
  </si>
  <si>
    <t>娇韵诗 美白三件套</t>
  </si>
  <si>
    <t>娇韵诗美白三件套</t>
  </si>
  <si>
    <t>爽肤水200ml+乳75ml+精华50ml</t>
  </si>
  <si>
    <t>3666057142581</t>
  </si>
  <si>
    <t>娇韵诗弹簧日晚霜清爽型套装</t>
  </si>
  <si>
    <t>娇韵诗弹簧日晚霜两件套</t>
  </si>
  <si>
    <t>3666057142598</t>
  </si>
  <si>
    <t>娇韵诗 弹簧三件套</t>
  </si>
  <si>
    <t>娇韵诗弹簧三件套</t>
  </si>
  <si>
    <t>双萃50ml+日霜50ml+晚霜50ml</t>
  </si>
  <si>
    <t>3666057156236</t>
  </si>
  <si>
    <t>娇韵诗沁润不死鸟日霜晚霜套装</t>
  </si>
  <si>
    <t>娇韵诗不死鸟日晚霜两件套</t>
  </si>
  <si>
    <t>3666057356667</t>
  </si>
  <si>
    <t>娇韵诗 孕妇两件套</t>
  </si>
  <si>
    <t>娇韵诗孕妇两件套</t>
  </si>
  <si>
    <t>护理油100ml+抚纹霜175ml</t>
  </si>
  <si>
    <t>4894374017971</t>
  </si>
  <si>
    <t>碧欧泉 男士水动力3件套</t>
  </si>
  <si>
    <t>碧欧泉男士水动力3件套</t>
  </si>
  <si>
    <t>水200ml+乳100ml+洁面125ml</t>
  </si>
  <si>
    <t>4894374278266</t>
  </si>
  <si>
    <t>兰蔻 菁纯臻颜三件套</t>
  </si>
  <si>
    <t>兰蔻菁纯三件套</t>
  </si>
  <si>
    <t>精华水150ml+菁纯乳霜60ml+眼霜20ml</t>
  </si>
  <si>
    <t>4894374349805</t>
  </si>
  <si>
    <t>欧莱雅 复颜视黄醇精粹抗皱套装</t>
  </si>
  <si>
    <t>欧莱雅复颜抗皱紧致三件套</t>
  </si>
  <si>
    <t>日霜50ml+晚霜50ml+眼霜15ml</t>
  </si>
  <si>
    <t>4894374551642</t>
  </si>
  <si>
    <t>赫莲娜绿宝瓶舒缓修护套装</t>
  </si>
  <si>
    <t>赫莲娜悦活蓄能三件套</t>
  </si>
  <si>
    <t>新肌水200ml+绿宝瓶50ml+绿宝瓶乳霜50ml</t>
  </si>
  <si>
    <t>4894374618772</t>
  </si>
  <si>
    <t>赫莲娜修护舒缓琉光三件套</t>
  </si>
  <si>
    <t>赫莲娜小王炸套盒</t>
  </si>
  <si>
    <t>黑绷带50ml+绿宝瓶精华100ml+高光眼霜15ml</t>
  </si>
  <si>
    <t>4953923310878</t>
  </si>
  <si>
    <t>POLA B.A 眼霜套盒</t>
  </si>
  <si>
    <t>宝丽黑BA眼霜套盒</t>
  </si>
  <si>
    <t>眼霜26g+化妆水8ml+乳液8ml</t>
  </si>
  <si>
    <t>4971710499049</t>
  </si>
  <si>
    <t>黛珂AQ舒活基础赋活礼盒</t>
  </si>
  <si>
    <t>AQ舒活基础赋活套装</t>
  </si>
  <si>
    <t>水200ml+乳200ml+霜25g</t>
  </si>
  <si>
    <t>4971710518689</t>
  </si>
  <si>
    <t>黛珂 AQ白檀舒活光韵保养套盒</t>
  </si>
  <si>
    <t>黛珂AQ白檀修复水乳带洁面三件套</t>
  </si>
  <si>
    <t>清爽水200ml/+清爽乳200ml/+白洁面乳125g</t>
  </si>
  <si>
    <t>4971710518696</t>
  </si>
  <si>
    <t>黛珂 植物韵律三件套滋润版</t>
  </si>
  <si>
    <t>黛珂韵律清爽型三件套</t>
  </si>
  <si>
    <t>水200ml+乳200ml+洁面200ml</t>
  </si>
  <si>
    <t>4971710570120</t>
  </si>
  <si>
    <t>黛珂 植物韵律三件套清爽版</t>
  </si>
  <si>
    <t>黛珂韵律滋润型三件套</t>
  </si>
  <si>
    <t>4979006091236</t>
  </si>
  <si>
    <t>SK2多方位三件套</t>
  </si>
  <si>
    <t>神仙水230ML，清莹露230ML，晶致乳液100ML</t>
  </si>
  <si>
    <t>729238190092</t>
  </si>
  <si>
    <t>资生堂红腰子套装</t>
  </si>
  <si>
    <t>资生堂红腰子三件套</t>
  </si>
  <si>
    <t>精华100ml+洁面125ml+水150ml</t>
  </si>
  <si>
    <t>729238211896</t>
  </si>
  <si>
    <t>CPB肌肤之钥基础护理修护霜套装</t>
  </si>
  <si>
    <t>CPB基础保养精华乳组套</t>
  </si>
  <si>
    <t>精华水170ML+日霜50ML+夜霜50ML</t>
  </si>
  <si>
    <t>747930150060</t>
  </si>
  <si>
    <t xml:space="preserve">海蓝之谜焕采水润套装 </t>
  </si>
  <si>
    <t>绿眼霜15ml+面霜100ml</t>
  </si>
  <si>
    <t>809280161346</t>
  </si>
  <si>
    <t>馥蕾诗紅茶三件套</t>
  </si>
  <si>
    <t>精华50ML+面霜50ml+眼霜15ml</t>
  </si>
  <si>
    <t>8801051241426</t>
  </si>
  <si>
    <t>后拱辰享美白套盒</t>
  </si>
  <si>
    <t>后拱辰享美白三件套</t>
  </si>
  <si>
    <t>雪玉凝平衡水150m1+平衡乳110m1+面霜 30ml，赠品：平衡水20+平衡乳20ml+洁面乳8ml</t>
  </si>
  <si>
    <t>8801051242133</t>
  </si>
  <si>
    <t>后水妍两件套盒</t>
  </si>
  <si>
    <t>水150ml+乳110ml，赠品：面霜4ml+乳20ml+洁面40ml+水20ml</t>
  </si>
  <si>
    <t>8801051268171</t>
  </si>
  <si>
    <t>后天气丹华泫套盒</t>
  </si>
  <si>
    <t>后天气丹光耀焕活紧颜系列3件套礼盒</t>
  </si>
  <si>
    <t>天气丹水150ml+25ml+乳110ml+25ml+精华10ml+滋养面霜25ml+眼霜8ml</t>
  </si>
  <si>
    <t>8801051501025</t>
  </si>
  <si>
    <t>后天率丹两件套</t>
  </si>
  <si>
    <t>和率提拉滋养液150ml+和率提拉滋养乳110ml，赠品：滋养液25ml+滋养乳25ml+精华液8ml+滋养霜10ml</t>
  </si>
  <si>
    <t>8801051657609</t>
  </si>
  <si>
    <t>后津率享两件套</t>
  </si>
  <si>
    <t>水150ml+乳110ml+水20ml+乳20ml+面霜30ml+精华8ml+眼霜4ml</t>
  </si>
  <si>
    <t>8809925132849</t>
  </si>
  <si>
    <t>雪花秀滋盈肌本舒活2件套 318ml</t>
  </si>
  <si>
    <t>雪花秀滋盈肌本舒活2件套</t>
  </si>
  <si>
    <t>水150ml+乳125ml，赠品：水15ml+乳15ml+精华8ml+面霜5ml</t>
  </si>
  <si>
    <t>8809925200685</t>
  </si>
  <si>
    <t>雪花秀顺行三件套 575ml</t>
  </si>
  <si>
    <t>雪花秀顺行三件套</t>
  </si>
  <si>
    <t>水150ml+乳液125ml+洁面200ml+水35ml+乳液35ml+面霜15ml+精华液15ml</t>
  </si>
  <si>
    <t>887167386655</t>
  </si>
  <si>
    <t>雅诗兰黛 红石榴护肤3件套</t>
  </si>
  <si>
    <t>雅诗兰黛红石榴护肤3件套</t>
  </si>
  <si>
    <t>洗面奶125ml+水200ml+面霜50ml</t>
  </si>
  <si>
    <t>887167571068</t>
  </si>
  <si>
    <t>雅诗兰黛抗衰老三件套</t>
  </si>
  <si>
    <t>原生液200ml+智妍清爽面霜75ml+特润50ml</t>
  </si>
  <si>
    <t>887167612136</t>
  </si>
  <si>
    <t>雅诗兰黛 抗衰老五件套</t>
  </si>
  <si>
    <t>雅诗兰黛抗衰老五件套</t>
  </si>
  <si>
    <t>洁面150ml+原生液100ml+精华50ml+智妍面霜75ml+眼霜15ml</t>
  </si>
  <si>
    <t>8801051745979</t>
  </si>
  <si>
    <t>后Whoo拱辰享气韵生水乳六件套</t>
  </si>
  <si>
    <t>后拱辰享水妍两件套</t>
  </si>
  <si>
    <t>后拱辰享水妍两件套（水150ml+20ml+乳110ml+20ml+霜4ml+洁面40ml）</t>
  </si>
  <si>
    <t>8801051240931</t>
  </si>
  <si>
    <t>whoo后男士套装拱辰享君王套盒</t>
  </si>
  <si>
    <t>后男士两件套</t>
  </si>
  <si>
    <t>君滋养液140ml+20ml+滋养乳100ml+20ml+洗面奶40ml</t>
  </si>
  <si>
    <t>8801051242157</t>
  </si>
  <si>
    <t>后Whoo拱辰享水妍保湿三件套</t>
  </si>
  <si>
    <t>后拱辰享水妍三件套</t>
  </si>
  <si>
    <t>正装:水150ml+乳110ml+面霜30ml 赠品:水20ml+乳20ml+洁面13ml</t>
  </si>
  <si>
    <t>8809949491007</t>
  </si>
  <si>
    <t>后津率享水乳三件套</t>
  </si>
  <si>
    <t>后津率享三件套</t>
  </si>
  <si>
    <t>水150ml+乳110ml+面霜30ml 赠品：水乳各20ml，精华液10ml，眼霜4ml</t>
  </si>
  <si>
    <t>8809949513211</t>
  </si>
  <si>
    <t>天气丹新款八件套</t>
  </si>
  <si>
    <t>天气丹pro三件套新版带洁面</t>
  </si>
  <si>
    <t>正装水150ml+乳110ml+面霜25ml
赠品：水乳各25ml+眼霜5ml+美白精华8ml</t>
  </si>
  <si>
    <t>4894374724244</t>
  </si>
  <si>
    <t>赫莲娜绿宝瓶三件套</t>
  </si>
  <si>
    <t>洁面125ml+水200ml+精华50ml</t>
  </si>
  <si>
    <t>4979006091250</t>
  </si>
  <si>
    <t>SK2 PITERA基础护肤套组 (神仙水精华230ml+清莹露230ml 护肤套装)</t>
  </si>
  <si>
    <t>SK2基础护肤套组</t>
  </si>
  <si>
    <t>神仙水230ml+清莹露230ml</t>
  </si>
  <si>
    <t>8801051248708</t>
  </si>
  <si>
    <t>后Whoo拱辰享雪美白两件套</t>
  </si>
  <si>
    <t>后拱辰享美白两件套</t>
  </si>
  <si>
    <t>水150ml+乳110ml+水20ml+乳20ml+面霜4ml+津膏4ml+洁面13ml/套</t>
  </si>
  <si>
    <t>后Whoo拱辰享美黄金气垫13G+替换装13G*2#21</t>
  </si>
  <si>
    <t>Whoo后拱辰享美黄金气垫粉底液#21正装+带双替换</t>
  </si>
  <si>
    <t>气垫正装13G+替换装13G*2#21</t>
  </si>
  <si>
    <t>4894374299193</t>
  </si>
  <si>
    <t>Kiehls科颜氏男士保湿三件套</t>
  </si>
  <si>
    <t>科颜氏男士保湿三件套</t>
  </si>
  <si>
    <t>啫喱250ml+水250ml+乳125ml</t>
  </si>
  <si>
    <t xml:space="preserve">3616305266828 </t>
  </si>
  <si>
    <t>古驰花悦浓香30ml对装</t>
  </si>
  <si>
    <t xml:space="preserve">3346130417286 </t>
  </si>
  <si>
    <t>爱马仕旅行香水套装4*15ml</t>
  </si>
  <si>
    <t>708661501904</t>
  </si>
  <si>
    <t>凡士林晶冻5.5g</t>
  </si>
  <si>
    <t>Vaseline凡士林晶冻5.5g</t>
  </si>
  <si>
    <t>737947177694</t>
  </si>
  <si>
    <t>VEET薇婷脱毛膏普通肌100ml巴林</t>
  </si>
  <si>
    <t>VEET薇婷脱毛膏普通肌100ml</t>
  </si>
  <si>
    <t>738177763167</t>
  </si>
  <si>
    <t>多芬身体润肤乳300ml</t>
  </si>
  <si>
    <t>738492044214</t>
  </si>
  <si>
    <t>Vaseline凡士林保湿滋润护唇膏芦荟润唇膏20g</t>
  </si>
  <si>
    <t>738639854499</t>
  </si>
  <si>
    <t>多芬金盏花胶态燕麦磨砂膏298g/罐</t>
  </si>
  <si>
    <t>738677981941</t>
  </si>
  <si>
    <t>Dove多芬男士保湿霜75ml</t>
  </si>
  <si>
    <t>738678557179</t>
  </si>
  <si>
    <t>Vaseline凡士林7g护唇膏玫瑰味</t>
  </si>
  <si>
    <t>738680085584</t>
  </si>
  <si>
    <t>旁氏卸妆膏100ml</t>
  </si>
  <si>
    <t>738769931404</t>
  </si>
  <si>
    <t>凡士林修护防晒霜50ml</t>
  </si>
  <si>
    <t>738958624587</t>
  </si>
  <si>
    <t>多芬DOVE葡萄籽精粹去角质亮洁面慕斯145ml</t>
  </si>
  <si>
    <t>739030909554</t>
  </si>
  <si>
    <t>Femfresh芳芯女性私处护理液洗液百合香250ml</t>
  </si>
  <si>
    <t>739129834364</t>
  </si>
  <si>
    <t>Femfresh芳芯女性私处护理液洗液洋甘菊daliy250ml</t>
  </si>
  <si>
    <t>739131642856</t>
  </si>
  <si>
    <t>多芬玻尿酸水光滋养修护护发素450ml</t>
  </si>
  <si>
    <t>739131714902</t>
  </si>
  <si>
    <t>Femfresh芳芯女性私处护理液洗液敏感型250ml</t>
  </si>
  <si>
    <t>739257331034</t>
  </si>
  <si>
    <t>Femfresh芳芯女性私处护理液洗液蔓越莓250ml</t>
  </si>
  <si>
    <t>740682972760</t>
    <phoneticPr fontId="2" type="noConversion"/>
  </si>
  <si>
    <t>凡士林原味唇膏7g</t>
  </si>
  <si>
    <t>740684412364</t>
  </si>
  <si>
    <t>凡士林保湿身体乳365ml</t>
  </si>
  <si>
    <t>740685124614</t>
  </si>
  <si>
    <t>凡士林薄荷清爽沐浴露430ml</t>
  </si>
  <si>
    <t>740688224471</t>
  </si>
  <si>
    <t>多芬玻尿酸水光净澈控油护发素450ml</t>
  </si>
  <si>
    <t>740858185147</t>
  </si>
  <si>
    <t>凡士林敏感皮肤修复身体乳365ml</t>
  </si>
  <si>
    <t>740949934448</t>
  </si>
  <si>
    <t>凡士林身体乳男士古龙香400ml</t>
  </si>
  <si>
    <t>740950798048</t>
  </si>
  <si>
    <t>VEET薇婷脱毛膏干性肌100ml</t>
  </si>
  <si>
    <t>741073939547</t>
  </si>
  <si>
    <t>多芬抗菌洗手液250ml</t>
  </si>
  <si>
    <t>742305947922</t>
  </si>
  <si>
    <t>VEET薇婷脱毛膏普通肌200ml</t>
  </si>
  <si>
    <t>743069888803</t>
  </si>
  <si>
    <t>凡士林芦荟身体乳725ml</t>
  </si>
  <si>
    <t>743207949464</t>
  </si>
  <si>
    <t>凡士林烟酰胺美白身体乳725ml</t>
  </si>
  <si>
    <t>743231361853</t>
  </si>
  <si>
    <t>凡士林725ml身体乳洋甘菊</t>
  </si>
  <si>
    <t>743843840822</t>
  </si>
  <si>
    <t>744090502502</t>
  </si>
  <si>
    <t>744105690753</t>
  </si>
  <si>
    <t>资生堂UNO男士控油祛痘洗面奶130g黑色</t>
  </si>
  <si>
    <t>744106146911</t>
  </si>
  <si>
    <t>资生堂UNO男士洗面奶温和型130g绿色</t>
  </si>
  <si>
    <t>744213479476</t>
  </si>
  <si>
    <t>资生堂UNO男士洗面奶清凉型130g深蓝</t>
  </si>
  <si>
    <t>745624034712</t>
  </si>
  <si>
    <t>Vaseline凡士林7g护唇膏焦糖布丁味</t>
  </si>
  <si>
    <t>746879765012</t>
  </si>
  <si>
    <t>资生堂FINO 美容复合精华护发素滋润型550mL</t>
  </si>
  <si>
    <t>747198960949</t>
  </si>
  <si>
    <t>Vaseline凡士林美白身体乳400ml</t>
  </si>
  <si>
    <t>748177328566</t>
  </si>
  <si>
    <t>资生堂SENKA珊珂洗颜专科超微米洁颜乳120g</t>
  </si>
  <si>
    <t>748184353633</t>
  </si>
  <si>
    <t>凡士林身体乳600ml薰衣草</t>
  </si>
  <si>
    <t>748256342029</t>
  </si>
  <si>
    <t>Dove多芬椰油杏仁奶护手霜75ml</t>
  </si>
  <si>
    <t>748347839738</t>
  </si>
  <si>
    <t>凡士林特润修护身体乳600ml无香型</t>
  </si>
  <si>
    <t>748502263783</t>
  </si>
  <si>
    <t>阿玛尼红管唇釉416</t>
  </si>
  <si>
    <t>750535373244</t>
  </si>
  <si>
    <t>凡士林200ml美白身体乳</t>
  </si>
  <si>
    <t>751587027333</t>
  </si>
  <si>
    <t>FINISH亮碟洗碗机专用洗涤块10块装</t>
  </si>
  <si>
    <t>753217268265</t>
  </si>
  <si>
    <t>布朗杜低分子玻尿酸保湿平衡露50ml</t>
  </si>
  <si>
    <t>753348001999</t>
  </si>
  <si>
    <t>布朗杜低分子玻尿酸舒敏补湿液50ml</t>
  </si>
  <si>
    <t>753476481202</t>
  </si>
  <si>
    <t>资生堂FINO高效渗透护发膜230g</t>
  </si>
  <si>
    <t>753914983977</t>
  </si>
  <si>
    <t>VASELINE凡士林可可深层保湿滋润润肤乳液725毫升</t>
  </si>
  <si>
    <t>754797912872</t>
  </si>
  <si>
    <t>凡士林450ml晶冻芦荟</t>
  </si>
  <si>
    <t>754798400310</t>
  </si>
  <si>
    <t>凡士林450ml晶冻宝宝</t>
  </si>
  <si>
    <t>754799204786</t>
  </si>
  <si>
    <t>Dove多芬牛油果金盏花护手霜75ml</t>
  </si>
  <si>
    <t>754933085066</t>
  </si>
  <si>
    <t>凡士林修护晶冻368g</t>
  </si>
  <si>
    <t>754981218742</t>
  </si>
  <si>
    <t>凡士林450ml晶冻原味</t>
  </si>
  <si>
    <t>754981346064</t>
  </si>
  <si>
    <t>凡士林450ml晶冻可可</t>
  </si>
  <si>
    <t>755044639165</t>
  </si>
  <si>
    <t>凡士林600ml洋甘菊有香</t>
  </si>
  <si>
    <t>768267345944</t>
  </si>
  <si>
    <t>京美SHEILA美白面膜</t>
  </si>
  <si>
    <t>768267409142</t>
  </si>
  <si>
    <t>京美SHEILA限定款面膜</t>
  </si>
  <si>
    <t>768271858137</t>
  </si>
  <si>
    <t>京美浆果花之芬芳护手霜</t>
  </si>
  <si>
    <t>768273174101</t>
  </si>
  <si>
    <t>京美SHEILA修护面膜</t>
  </si>
  <si>
    <t>768275023273</t>
  </si>
  <si>
    <t>京美甜美之花护手霜</t>
  </si>
  <si>
    <t>768276211761</t>
  </si>
  <si>
    <t>京美SHEILA抗衰老面膜</t>
  </si>
  <si>
    <t>768276267302</t>
  </si>
  <si>
    <t>京美SHEILA保湿面膜</t>
  </si>
  <si>
    <t>768453202945</t>
  </si>
  <si>
    <t>AISHODO三重胶原蛋白果冻面膜140ml</t>
  </si>
  <si>
    <t>782638147883</t>
  </si>
  <si>
    <t>VEET薇婷脱毛膏敏感肌200ml</t>
  </si>
  <si>
    <t>783110941221</t>
  </si>
  <si>
    <t>Curel/珂润控油洁面150ml</t>
  </si>
  <si>
    <t>789339881354</t>
  </si>
  <si>
    <t>凡士林经典原味保湿修护晶冻100ml</t>
  </si>
  <si>
    <t>799261394695</t>
  </si>
  <si>
    <t>清妍亲肤舒缓爽肤水200ml</t>
  </si>
  <si>
    <t>799434424900</t>
  </si>
  <si>
    <t>清妍亲肤焕活微米卸妆水400ml</t>
  </si>
  <si>
    <t>801659775837</t>
  </si>
  <si>
    <t>simple极致净化洁面啫喱150ml</t>
  </si>
  <si>
    <t>801659919083</t>
  </si>
  <si>
    <t>simple亲肤焕活洁面凝露150ml</t>
  </si>
  <si>
    <t>801879373353</t>
  </si>
  <si>
    <t>simple亲肤保湿洁面150ml</t>
  </si>
  <si>
    <t>804089817539</t>
  </si>
  <si>
    <t>凡士林身体乳日间防护300ml</t>
  </si>
  <si>
    <t>815174811806</t>
  </si>
  <si>
    <t>多芬空气感保湿无硅洗发露480g</t>
  </si>
  <si>
    <t>815186587699</t>
  </si>
  <si>
    <t>多芬抗痘洁面慕斯补充装140ml</t>
  </si>
  <si>
    <t>815207171523</t>
  </si>
  <si>
    <t>DOVE多芬男士保湿洁面慕斯140ml</t>
  </si>
  <si>
    <t>815268098912</t>
  </si>
  <si>
    <t>倩碧有油黄油卓越润肤乳125ml</t>
  </si>
  <si>
    <t>815325678271</t>
  </si>
  <si>
    <t>多芬160ml泡泡慕斯抗痘</t>
  </si>
  <si>
    <t>815327130081</t>
  </si>
  <si>
    <t>多芬男士控油洁面100g</t>
  </si>
  <si>
    <t>815499297104</t>
  </si>
  <si>
    <t>Dove多芬空气感保湿润发精华素480g</t>
  </si>
  <si>
    <t>815500805739</t>
  </si>
  <si>
    <t>多芬男士保湿洁面乳100g</t>
  </si>
  <si>
    <t>815502081721</t>
  </si>
  <si>
    <t>多芬美肤保湿霜75ml</t>
  </si>
  <si>
    <t>815520669043</t>
  </si>
  <si>
    <t>多芬玻尿酸水光净澈控油洗发水450ml</t>
  </si>
  <si>
    <t>815521741475</t>
  </si>
  <si>
    <t>凡士林防晒水50ml</t>
  </si>
  <si>
    <t>815622868495</t>
  </si>
  <si>
    <t>多芬男士控油型三重滋养面霜50g</t>
  </si>
  <si>
    <t>819720308031</t>
  </si>
  <si>
    <t>凡士林身体乳美肤紧致300ml</t>
  </si>
  <si>
    <t>839181252370</t>
  </si>
  <si>
    <t>HR赫莲娜绿宝瓶三件套</t>
  </si>
  <si>
    <t>839342913503</t>
  </si>
  <si>
    <t>炫诗亚麻色发膜200ml</t>
  </si>
  <si>
    <t>843768309596</t>
  </si>
  <si>
    <t>凡士林经典原味保湿修护晶冻50ml</t>
  </si>
  <si>
    <t>850551818423</t>
  </si>
  <si>
    <t>凡士林罐装唇膏玫瑰味20G</t>
  </si>
  <si>
    <t>850849305563</t>
  </si>
  <si>
    <t>凡士林罐装唇膏经典原味20G</t>
  </si>
  <si>
    <t>861810211934</t>
  </si>
  <si>
    <t>海飞丝水润护发素180ml</t>
  </si>
  <si>
    <t>861950101116</t>
  </si>
  <si>
    <t>The Spice Lab喜马拉雅粉盐食用玫瑰盐矿盐低钠无抗凝剂</t>
  </si>
  <si>
    <t>862295801255</t>
  </si>
  <si>
    <t>海飞丝密集复活护发素180ml</t>
  </si>
  <si>
    <t>864614071886</t>
  </si>
  <si>
    <t>露华浓洗发水592ml蓝色</t>
  </si>
  <si>
    <t>864662499760</t>
  </si>
  <si>
    <t>露华浓洗发水592ml绿色</t>
  </si>
  <si>
    <t>864727042934</t>
  </si>
  <si>
    <t>凡士林晶冻50ml</t>
  </si>
  <si>
    <t>864731342407</t>
  </si>
  <si>
    <t>玉兰油光感小白瓶精华30ml</t>
  </si>
  <si>
    <t>865050921894</t>
  </si>
  <si>
    <t>多芬柔嫩洗颜慕斯150ml</t>
  </si>
  <si>
    <t>865057245596</t>
  </si>
  <si>
    <t>多芬抗痘洁面慕斯150ml</t>
  </si>
  <si>
    <t>865096441730</t>
  </si>
  <si>
    <t>清扬男士PRO防脱洗发水</t>
  </si>
  <si>
    <t>865107857668</t>
  </si>
  <si>
    <t>Dove多芬香皂原味90g</t>
  </si>
  <si>
    <t>865154773270</t>
  </si>
  <si>
    <t>AHCB5洗面奶50ml</t>
  </si>
  <si>
    <t>865156569351</t>
  </si>
  <si>
    <t>olay晚霜50ml</t>
  </si>
  <si>
    <t>865329956276</t>
  </si>
  <si>
    <t>多芬神经酰胺蓝色洁面慕斯125ml</t>
  </si>
  <si>
    <t>865335084443</t>
  </si>
  <si>
    <t>薇婷脱毛膏100ml敏感肌</t>
  </si>
  <si>
    <t>865344928799</t>
  </si>
  <si>
    <t>适乐肤面霜340g</t>
  </si>
  <si>
    <t>865375008077</t>
  </si>
  <si>
    <t>多芬抗痘洁面慕斯125ml</t>
  </si>
  <si>
    <t>865376504137</t>
  </si>
  <si>
    <t>清扬女士防脱洗发水</t>
  </si>
  <si>
    <t>865381248018</t>
  </si>
  <si>
    <t>薇婷脱毛膏200ml普通肌</t>
  </si>
  <si>
    <t>865434592550</t>
  </si>
  <si>
    <t>薇婷脱毛膏200ml敏感肌</t>
  </si>
  <si>
    <t>865712994492</t>
  </si>
  <si>
    <t>多芬香皂90g粉色嫩肤滋养</t>
  </si>
  <si>
    <t>865715526060</t>
  </si>
  <si>
    <t>Dove/多芬香皂90g乳木果油</t>
  </si>
  <si>
    <t>866041789750</t>
  </si>
  <si>
    <t>DOVE多芬果酸身体乳250ml</t>
    <phoneticPr fontId="2" type="noConversion"/>
  </si>
  <si>
    <t>DOVE多芬果酸身体乳250ml</t>
  </si>
  <si>
    <t>866042861855</t>
  </si>
  <si>
    <t>Dove/多芬香皂90g石榴香</t>
  </si>
  <si>
    <t>866046217544</t>
  </si>
  <si>
    <t>多芬香皂90g椰子香</t>
  </si>
  <si>
    <t>866047761655</t>
  </si>
  <si>
    <t>芭妮兰净柔卸妆膏经典款3ml</t>
  </si>
  <si>
    <t>866327628957</t>
  </si>
  <si>
    <t>兰蔻柔肤水125ml</t>
  </si>
  <si>
    <t>866333496138</t>
  </si>
  <si>
    <t>Pears梨牌水晶皂100g宝石蓝薄荷</t>
  </si>
  <si>
    <t>866360948132</t>
  </si>
  <si>
    <t>施华蔻修直造型中和乳400ml</t>
  </si>
  <si>
    <t>877280139050</t>
  </si>
  <si>
    <t>Pears梨牌沐浴露250ml翡翠绿柠檬花香氛</t>
  </si>
  <si>
    <t>877481438964</t>
  </si>
  <si>
    <t>Pears梨牌沐浴露250ml宝石蓝薄荷</t>
  </si>
  <si>
    <t>883425583303</t>
  </si>
  <si>
    <t>清扬男士PRO防脱精华70ML</t>
  </si>
  <si>
    <t>884383832010</t>
  </si>
  <si>
    <t>清扬女士修复精华液45ML</t>
    <phoneticPr fontId="2" type="noConversion"/>
  </si>
  <si>
    <t>清扬女士修复精华液45ML</t>
  </si>
  <si>
    <t>886437947556</t>
  </si>
  <si>
    <t>凡士林超级食物身体乳500ml蔓越莓香</t>
  </si>
  <si>
    <t>889707646227</t>
  </si>
  <si>
    <t>凡士林超级食物身体乳500ML西柚香</t>
  </si>
  <si>
    <t>889716710754</t>
  </si>
  <si>
    <t>Dove/多芬香皂90g敏感肌</t>
  </si>
  <si>
    <t>890490752175</t>
  </si>
  <si>
    <t>凡士林超级食物身体乳500ML桃子香</t>
  </si>
  <si>
    <t>900794155837</t>
  </si>
  <si>
    <t>Swisse女式维生素片50+90片全新包装</t>
  </si>
  <si>
    <t>900803235734</t>
  </si>
  <si>
    <t>Blackmores澳佳宝烟酰胺维生素B3精华片60片</t>
  </si>
  <si>
    <t>900803723502</t>
  </si>
  <si>
    <t>HealthyCare叶黄素120粒</t>
  </si>
  <si>
    <t>900806443022</t>
  </si>
  <si>
    <t>Blackmores澳佳宝维生素C1000mg150片</t>
  </si>
  <si>
    <t>900808599161</t>
  </si>
  <si>
    <t>CaliforniaBaby加州宝宝金盏花乳液251ml</t>
  </si>
  <si>
    <t>900808771563</t>
  </si>
  <si>
    <t>bioisland赖氨酸咀嚼片儿童青少年黄金助长素2段60粒</t>
  </si>
  <si>
    <t>900815943126</t>
  </si>
  <si>
    <t>Swisse活力胶原蛋白片100粒</t>
  </si>
  <si>
    <t>900822735608</t>
  </si>
  <si>
    <t>HealthyCare山羊奶片-香草味300片</t>
  </si>
  <si>
    <t>900826019104</t>
  </si>
  <si>
    <t>INNE小精灵液体铁</t>
  </si>
  <si>
    <t>900839847701</t>
  </si>
  <si>
    <t>Swisse更年期平衡片60片</t>
  </si>
  <si>
    <t>900843395985</t>
  </si>
  <si>
    <t>Swisse卵磷脂1200mg300粒</t>
  </si>
  <si>
    <t>900844151057</t>
  </si>
  <si>
    <t>Swisse营养片60片</t>
  </si>
  <si>
    <t>900845907218</t>
  </si>
  <si>
    <t>NaturesWay多种维他命蔬菜咀嚼软糖60粒装</t>
  </si>
  <si>
    <t>901069678168</t>
  </si>
  <si>
    <t>Swisse钙+维生素D迷你片300片</t>
  </si>
  <si>
    <t>901084310678</t>
  </si>
  <si>
    <t>Ddrops幼儿维生素D3滴剂2.5ml</t>
  </si>
  <si>
    <t>901090246667</t>
  </si>
  <si>
    <t>MoveFree维骨力软骨精华素白瓶75粒</t>
  </si>
  <si>
    <t>901098314318</t>
  </si>
  <si>
    <t>SHEVEU绿色洗发水200ML</t>
  </si>
  <si>
    <t>901106838839</t>
  </si>
  <si>
    <t>日本PIGEON贝亲桃叶保湿泡沫沐浴露450ml</t>
  </si>
  <si>
    <t>901111134301</t>
  </si>
  <si>
    <t>Ostelin婴幼儿维生素D滴剂20ml</t>
  </si>
  <si>
    <t>901120874852</t>
  </si>
  <si>
    <t>Swisse男式维生素片50+90片全新包装</t>
  </si>
  <si>
    <t>901120970624</t>
  </si>
  <si>
    <t>Swisse男士维生素片120片</t>
  </si>
  <si>
    <t>901125918720</t>
  </si>
  <si>
    <t>NaturesWay儿童维生素c锌软糖60粒装</t>
  </si>
  <si>
    <t>901129210720</t>
  </si>
  <si>
    <t>CaliforniaBaby加州宝宝金盏花洗发沐浴二合一251ml</t>
  </si>
  <si>
    <t>901129434129</t>
  </si>
  <si>
    <t>Lucas木瓜膏75克</t>
  </si>
  <si>
    <t>901130958960</t>
  </si>
  <si>
    <t>Swisse清肺片90片</t>
  </si>
  <si>
    <t>901133174705</t>
  </si>
  <si>
    <t>Swisse高浓度西芹籽精华软胶囊50粒</t>
  </si>
  <si>
    <t>901133194878</t>
  </si>
  <si>
    <t>Blackmores叶酸片500微克90粒</t>
  </si>
  <si>
    <t>901136054571</t>
  </si>
  <si>
    <t>BioIsland补锌咀嚼片120粒</t>
  </si>
  <si>
    <t>901532209323</t>
  </si>
  <si>
    <t>Swisse葡萄籽180片</t>
  </si>
  <si>
    <t>901534873948</t>
  </si>
  <si>
    <t>LifeSpace60岁以上适用益生菌60粒</t>
  </si>
  <si>
    <t>901544973918</t>
  </si>
  <si>
    <t>Swisse女士头发营养胶囊60粒</t>
  </si>
  <si>
    <t>901548493758</t>
  </si>
  <si>
    <t>Swisse高浓度蜂胶胶囊2000mg210粒</t>
  </si>
  <si>
    <t>901552489697</t>
  </si>
  <si>
    <t>SHEVEU橙色洗发水200ml</t>
  </si>
  <si>
    <t>901557901175</t>
  </si>
  <si>
    <t>Aveeno婴儿日常保湿乳液227g</t>
  </si>
  <si>
    <t>901565209317</t>
  </si>
  <si>
    <t>Inne叶黄素软糖30粒</t>
  </si>
  <si>
    <t>901567469914</t>
  </si>
  <si>
    <t>Swisse钙+维生素D150片</t>
  </si>
  <si>
    <t>901573437067</t>
  </si>
  <si>
    <t>Swisse高浓度蔓越莓胶囊90粒</t>
  </si>
  <si>
    <t>901573829705</t>
  </si>
  <si>
    <t>DUIT足霜50g</t>
  </si>
  <si>
    <t>901582799069</t>
  </si>
  <si>
    <t>B.Box宝宝重力吸管杯蓝色</t>
  </si>
  <si>
    <t>901583237431</t>
  </si>
  <si>
    <t>Blackmores血糖平衡片90粒</t>
  </si>
  <si>
    <t>901588713224</t>
  </si>
  <si>
    <t>Swisse补铁片30片</t>
  </si>
  <si>
    <t>901591325840</t>
  </si>
  <si>
    <t>Swisse男士头发营养胶囊60粒</t>
  </si>
  <si>
    <t>901598307388</t>
  </si>
  <si>
    <t>Unichi玫萃复配益生菌小熊60粒</t>
  </si>
  <si>
    <t>901605023367</t>
  </si>
  <si>
    <t>GNC健安喜Vitapak女性40+每日营养包30包</t>
  </si>
  <si>
    <t>901754267324</t>
  </si>
  <si>
    <t>B.Box宝宝勺叉套装草莓奶昔色</t>
  </si>
  <si>
    <t>901767403652</t>
  </si>
  <si>
    <t>Waken留兰香漱口水500ML</t>
  </si>
  <si>
    <t>901805907118</t>
  </si>
  <si>
    <t>B.BOX儿童餐具套装训练歪头叉勺蓝绿色</t>
  </si>
  <si>
    <t>901880858662</t>
  </si>
  <si>
    <t>UNICHITeddiLab玫瑰富铁小熊软糖60粒</t>
  </si>
  <si>
    <t>901960440564</t>
  </si>
  <si>
    <t>澳佳宝Blackmores葡萄糖维骨力180片装</t>
  </si>
  <si>
    <t>901964328371</t>
  </si>
  <si>
    <t>SHEVEU蓝色深层清洁洗发水200ML</t>
  </si>
  <si>
    <t>901968596456</t>
  </si>
  <si>
    <t>HealthyCare超级牛初乳咀嚼片400mg200片</t>
  </si>
  <si>
    <t>901974120542</t>
  </si>
  <si>
    <t>NaturesWay速溶天然蛋白粉香草味</t>
  </si>
  <si>
    <t>901977524408</t>
  </si>
  <si>
    <t>LifeSpace益生菌胶囊60粒</t>
  </si>
  <si>
    <t>901983732826</t>
  </si>
  <si>
    <t>Femfresh三倍功效女性私处护理液250ml</t>
  </si>
  <si>
    <t>901988816221</t>
  </si>
  <si>
    <t>Swisse硫酸氨基葡萄糖维骨力1500mg180片</t>
  </si>
  <si>
    <t>901989780898</t>
  </si>
  <si>
    <t>Bioisland儿童黄金助长素1段150g</t>
  </si>
  <si>
    <t>902026450435</t>
  </si>
  <si>
    <t>Avene雅漾儿童小金刚防晒霜30ml</t>
  </si>
  <si>
    <t>902034590393</t>
  </si>
  <si>
    <t>Avene红血丝修护精华30ml</t>
  </si>
  <si>
    <t>902044718802</t>
  </si>
  <si>
    <t>TRIMAY胶原蛋白抗衰老滋养霜50ML</t>
  </si>
  <si>
    <t>902052062883</t>
  </si>
  <si>
    <t>ostelin儿童咀嚼钙90粒</t>
  </si>
  <si>
    <t>902054630251</t>
  </si>
  <si>
    <t>HealthyCare钙+维生素DMini片300粒</t>
  </si>
  <si>
    <t>902055618447</t>
  </si>
  <si>
    <t>Redwin煤焦油洗发水250ml</t>
  </si>
  <si>
    <t>902086374450</t>
  </si>
  <si>
    <t>Avent新安怡晚间安抚奶嘴2只/盒</t>
  </si>
  <si>
    <t>902087450268</t>
  </si>
  <si>
    <t>Waken草莓薄荷漱口水500ML</t>
  </si>
  <si>
    <t>902096210400</t>
  </si>
  <si>
    <t>SWISSE儿童K2柠檬酸钙D咀嚼片60粒</t>
  </si>
  <si>
    <t>902097458398</t>
  </si>
  <si>
    <t>Natio儿童日常敏感防晒霜100mlSPF50+</t>
  </si>
  <si>
    <t>902330517436</t>
  </si>
  <si>
    <t>UNICHI小熊软糖60粒盒</t>
  </si>
  <si>
    <t>902343173547</t>
  </si>
  <si>
    <t>UNICHITeddiLab海盐生发小熊软糖60粒</t>
  </si>
  <si>
    <t>902345101342</t>
  </si>
  <si>
    <t>LaRochePosayB5修复舒缓抗老精华液30ml</t>
  </si>
  <si>
    <t>902347961532</t>
  </si>
  <si>
    <t>HealthyCare美白蜂胶牙膏120g</t>
  </si>
  <si>
    <t>902394282981</t>
  </si>
  <si>
    <t>高丝卸妆油240ml</t>
  </si>
  <si>
    <t>902487709728</t>
  </si>
  <si>
    <t>Natio儿童柔和身体乳250ml</t>
  </si>
  <si>
    <t>902502137297</t>
  </si>
  <si>
    <t>SUNSTAR儿童牙膏葡萄味70g</t>
  </si>
  <si>
    <t>902508721705</t>
  </si>
  <si>
    <t>TheraBreath温和薄荷漱口水473ml</t>
  </si>
  <si>
    <t>902509737869</t>
  </si>
  <si>
    <t>Natio儿童泡泡沐浴露250ml</t>
  </si>
  <si>
    <t>902519277829</t>
  </si>
  <si>
    <t>Waken薄荷漱口水500ML</t>
  </si>
  <si>
    <t>902520609989</t>
  </si>
  <si>
    <t>卡尼尔3合1面部眼唇卸妆油400ml</t>
  </si>
  <si>
    <t>902522925422</t>
  </si>
  <si>
    <t>Trilogy抗氧化玫瑰果油精华30ml</t>
  </si>
  <si>
    <t>902524465595</t>
  </si>
  <si>
    <t>SpaTreatment红蛇毒眼膜红盖60枚</t>
  </si>
  <si>
    <t>902553713312</t>
  </si>
  <si>
    <t>TRIMAY透明质酸橄榄深层洁颜油150ML</t>
  </si>
  <si>
    <t>902556421115</t>
  </si>
  <si>
    <t>Palmers/帕玛氏可可脂妊娠纹按摩乳250ML</t>
  </si>
  <si>
    <t>902559321944</t>
  </si>
  <si>
    <t>TheOrdinary精华液30ML</t>
  </si>
  <si>
    <t>902563485952</t>
  </si>
  <si>
    <t>SUNSTAR儿童牙刷</t>
  </si>
  <si>
    <t>902566861106</t>
  </si>
  <si>
    <t>SUNSTAR儿童牙刷黄色</t>
  </si>
  <si>
    <t>902569281602</t>
  </si>
  <si>
    <t>Swisse摩洛哥坚果油抗衰老眼霜15ml</t>
  </si>
  <si>
    <t>902733564035</t>
  </si>
  <si>
    <t>WISLIBE儿童U型牙刷小黄鸭</t>
  </si>
  <si>
    <t>902745976951</t>
  </si>
  <si>
    <t>Unichi玫萃玫瑰胶原小熊60粒</t>
  </si>
  <si>
    <t>902752380838</t>
  </si>
  <si>
    <t>LaRochePosay理肤泉轻盈面部防晒霜50mlSPF50+</t>
  </si>
  <si>
    <t>902753068992</t>
  </si>
  <si>
    <t>TRIMAY提拉紧致霜50ML</t>
  </si>
  <si>
    <t>902755588854</t>
  </si>
  <si>
    <t>GNC健安喜Vitapak女性30+每日营养包30包</t>
  </si>
  <si>
    <t>902909792562</t>
  </si>
  <si>
    <t>Redwin茶树油洗发水250ml</t>
  </si>
  <si>
    <t>902911024751</t>
  </si>
  <si>
    <t>Unichi女性多维营养小熊软糖60粒</t>
  </si>
  <si>
    <t>902918924529</t>
  </si>
  <si>
    <t>Waken柠檬薄荷漱口水500ML</t>
  </si>
  <si>
    <t>902933612912</t>
  </si>
  <si>
    <t>Swisse麦卢卡蜂蜜面膜70g</t>
  </si>
  <si>
    <t>902935392114</t>
  </si>
  <si>
    <t>雅漾温和洁面泡沫150ML</t>
  </si>
  <si>
    <t>902958692593</t>
  </si>
  <si>
    <t>雅漾活泉修复再生乳霜100ml</t>
  </si>
  <si>
    <t>902961404096</t>
  </si>
  <si>
    <t>馥露迪雅石榴蜂蜜三合一润唇膏10ML</t>
  </si>
  <si>
    <t>902971236642</t>
  </si>
  <si>
    <t>SUNSTAR儿童牙刷粉色</t>
  </si>
  <si>
    <t>903005940840</t>
  </si>
  <si>
    <t>LaRochePosay波赛玻尿酸B5玻尿酸保湿霜40ml</t>
  </si>
  <si>
    <t>904901303408</t>
  </si>
  <si>
    <t>凡士林晶冻100ml南非芦荟</t>
  </si>
  <si>
    <t>904903191346</t>
  </si>
  <si>
    <t>凡士林晶冻250ml南非原味</t>
  </si>
  <si>
    <t>905184782705</t>
  </si>
  <si>
    <t>凡士林晶冻250ml南非维E</t>
  </si>
  <si>
    <t>905665201556</t>
  </si>
  <si>
    <t>凡士林晶冻368g印度宝宝</t>
  </si>
  <si>
    <t>906084044050</t>
  </si>
  <si>
    <t>凡士林晶冻250ml南非宝宝</t>
  </si>
  <si>
    <t>907594423956</t>
  </si>
  <si>
    <t>凡士林烟酰胺身体乳250ml</t>
  </si>
  <si>
    <t>907620543974</t>
  </si>
  <si>
    <t>露华浓洗发水600ml生姜</t>
  </si>
  <si>
    <t>908404773239</t>
  </si>
  <si>
    <t>露华浓护发素600ml生姜</t>
  </si>
  <si>
    <t>909425731758</t>
  </si>
  <si>
    <t>凡士林身体乳250ml4号瓶玻尿酸保湿</t>
  </si>
  <si>
    <t>909428003678</t>
  </si>
  <si>
    <t>凡士林身体乳400ml印尼可可</t>
  </si>
  <si>
    <t>909462199683</t>
  </si>
  <si>
    <t>凡士林身体乳400ml南非可可</t>
  </si>
  <si>
    <t>909474035641</t>
  </si>
  <si>
    <t>凡士林身体乳600ml可可</t>
  </si>
  <si>
    <t>909782158314</t>
  </si>
  <si>
    <t>凡士林身体乳400ml南非芦荟</t>
  </si>
  <si>
    <t>909792226318</t>
  </si>
  <si>
    <t>凡士林身体乳200ml芦荟</t>
  </si>
  <si>
    <t>910264173519</t>
  </si>
  <si>
    <t>凡士林身体乳400ml南非美白</t>
  </si>
  <si>
    <t>910275041035</t>
  </si>
  <si>
    <t>凡士林身体乳400ml南非燕麦</t>
  </si>
  <si>
    <t>910275905106</t>
  </si>
  <si>
    <t>凡士林身体乳400ml南非坚果油</t>
  </si>
  <si>
    <t>910280453625</t>
  </si>
  <si>
    <t>凡士林身体乳600ml护理疗愈</t>
  </si>
  <si>
    <t>910281513768</t>
  </si>
  <si>
    <t>凡士林身体乳200ml可可</t>
  </si>
  <si>
    <t>910366587593</t>
  </si>
  <si>
    <t>薇婷脱毛膏100ml普通肌</t>
  </si>
  <si>
    <t>910688056926</t>
  </si>
  <si>
    <t>凡士林身体乳600ml舒缓保湿</t>
  </si>
  <si>
    <t>910695268741</t>
  </si>
  <si>
    <t>凡士林身体乳400ml南非敏感肌无香</t>
  </si>
  <si>
    <t>910699292520</t>
  </si>
  <si>
    <t>凡士林身体乳600ml提亮</t>
  </si>
  <si>
    <t>910708480239</t>
  </si>
  <si>
    <t>凡士林身体乳200ml洋甘菊</t>
  </si>
  <si>
    <t>915684007484</t>
  </si>
  <si>
    <t>ellips意立诗护发精油胶囊50粒装染发护色</t>
  </si>
  <si>
    <t>915691931048</t>
  </si>
  <si>
    <t>ellips意立诗护发精油胶囊50粒装坚果油抗氧化</t>
  </si>
  <si>
    <t>915790899231</t>
  </si>
  <si>
    <t>SUNSILK椰子牛奶味洗发水450ml</t>
  </si>
  <si>
    <t>915821331231</t>
  </si>
  <si>
    <t>sunsilk洗发水625ml柔顺光滑</t>
  </si>
  <si>
    <t>915825619049</t>
  </si>
  <si>
    <t>sunsilk洗发水625ml去屑</t>
  </si>
  <si>
    <t>915829555299</t>
  </si>
  <si>
    <t>sunsilk洗发水625ml黑色光泽</t>
  </si>
  <si>
    <t>915831091215</t>
  </si>
  <si>
    <t>sunsilk洗发水625ml清爽焕新</t>
  </si>
  <si>
    <t>916131866244</t>
  </si>
  <si>
    <t>sunsilk洗发水380ml光滑润泽</t>
  </si>
  <si>
    <t>916135090962</t>
  </si>
  <si>
    <t>SUNSILK椰子牛奶味护发素450ml</t>
  </si>
  <si>
    <t>916160098347</t>
  </si>
  <si>
    <t>sunsilk洗发水380ml薄荷去屑</t>
  </si>
  <si>
    <t>916639737481</t>
  </si>
  <si>
    <t>sunsilk洗发水380ml长发护理</t>
  </si>
  <si>
    <t>916682233815</t>
  </si>
  <si>
    <t>sunsilk洗发水625ml防脱</t>
  </si>
  <si>
    <t>916968712601</t>
  </si>
  <si>
    <t>ellips意立诗护发精油胶囊50粒装柔顺长发</t>
  </si>
  <si>
    <t>916970592023</t>
  </si>
  <si>
    <t>ellips意立诗护发精油胶囊50粒装干枯静电发质护理</t>
  </si>
  <si>
    <t>916975700743</t>
  </si>
  <si>
    <t>ellips意立诗护发精油胶囊50粒装烫染护理</t>
  </si>
  <si>
    <t>917073784638</t>
  </si>
  <si>
    <t>sunsilk洗发水380ml损伤修复</t>
  </si>
  <si>
    <t>917109980596</t>
  </si>
  <si>
    <t>sunsilk洗发水625ml光滑易打理</t>
  </si>
  <si>
    <t>917117852011</t>
  </si>
  <si>
    <t>sunsilk洗发水625ml温和补水</t>
  </si>
  <si>
    <t>918220291930</t>
  </si>
  <si>
    <t>多芬沐浴露550ml敏感肌</t>
  </si>
  <si>
    <t>918235587038</t>
  </si>
  <si>
    <t>多芬沐浴露1L石榴柠檬马鞭草</t>
  </si>
  <si>
    <t>918257495247</t>
  </si>
  <si>
    <t>多芬沐浴露550ml去角质</t>
  </si>
  <si>
    <t>918260607819</t>
  </si>
  <si>
    <t>多芬沐浴露550ml清新触感黄瓜绿茶</t>
  </si>
  <si>
    <t>918481875378</t>
  </si>
  <si>
    <t>多芬沐浴露500ml深层滋养牛奶香</t>
  </si>
  <si>
    <t>918482899892</t>
  </si>
  <si>
    <t>多芬洗发水410ml深层修复</t>
  </si>
  <si>
    <t>918485507330</t>
  </si>
  <si>
    <t>多芬沐浴露200ml去角质</t>
  </si>
  <si>
    <t>918492951523</t>
  </si>
  <si>
    <t>多芬洗发水200ml强力修复</t>
  </si>
  <si>
    <t>918494719644</t>
  </si>
  <si>
    <t>多芬洗发水200ml保湿</t>
  </si>
  <si>
    <t>918495075794</t>
  </si>
  <si>
    <t>多芬洗发水680ml深层滋养</t>
  </si>
  <si>
    <t>918496011901</t>
  </si>
  <si>
    <t>多芬洗发水1L深层修复</t>
  </si>
  <si>
    <t>918575250617</t>
  </si>
  <si>
    <t>多芬洗发水410ml浓密</t>
  </si>
  <si>
    <t>918579698469</t>
  </si>
  <si>
    <t>多芬沐浴露550ml石榴柠檬马鞭草</t>
  </si>
  <si>
    <t>918581754615</t>
  </si>
  <si>
    <t>多芬沐浴露550ml深层滋养牛奶香</t>
  </si>
  <si>
    <t>918593686874</t>
  </si>
  <si>
    <t>多芬洗发水680ml每日亮泽普通发质</t>
  </si>
  <si>
    <t>918600790470</t>
  </si>
  <si>
    <t>多芬沐浴露750ml白莲米粹</t>
  </si>
  <si>
    <t>918611726230</t>
  </si>
  <si>
    <t>多芬沐浴露1L清新活力</t>
  </si>
  <si>
    <t>918617242936</t>
  </si>
  <si>
    <t>多芬洗发水330ml防脱发</t>
  </si>
  <si>
    <t>918619226114</t>
  </si>
  <si>
    <t>多芬洗发水330ml深层修复</t>
  </si>
  <si>
    <t>918834698492</t>
  </si>
  <si>
    <t>多芬沐浴露500ml黄瓜绿茶</t>
  </si>
  <si>
    <t>918836162112</t>
  </si>
  <si>
    <t>多芬洗发水680ml深层修复</t>
  </si>
  <si>
    <t>918838710571</t>
  </si>
  <si>
    <t>多芬沐浴露200ml石榴柠檬马鞭草</t>
  </si>
  <si>
    <t>918844614362</t>
  </si>
  <si>
    <t>多芬沐浴露200ml深层滋养牛奶香</t>
  </si>
  <si>
    <t>919112193283</t>
  </si>
  <si>
    <t>多芬洗发水680ml长直顺滑</t>
  </si>
  <si>
    <t>919118745311</t>
  </si>
  <si>
    <t>多芬洗发水680ml防脱发</t>
  </si>
  <si>
    <t>919125549205</t>
  </si>
  <si>
    <t>多芬沐浴露750ml深层滋养牛奶香</t>
  </si>
  <si>
    <t>919137137691</t>
  </si>
  <si>
    <t>多芬洗发水330ml直发顺滑</t>
  </si>
  <si>
    <t>919360057445</t>
  </si>
  <si>
    <t>多芬洗护2合1洗发水200ml每日滋养</t>
  </si>
  <si>
    <t>919361009964</t>
  </si>
  <si>
    <t>多芬沐浴露200ml清新触感黄瓜绿茶</t>
  </si>
  <si>
    <t>919366625878</t>
  </si>
  <si>
    <t>多芬洗发水200ml每日滋养</t>
  </si>
  <si>
    <t>919369749014</t>
  </si>
  <si>
    <t>多芬洗发水200ml防脱发</t>
  </si>
  <si>
    <t>919550300644</t>
  </si>
  <si>
    <t>多芬沐浴露1L深层滋养牛奶香</t>
  </si>
  <si>
    <t>919589636450</t>
  </si>
  <si>
    <t>多芬洗发水330ml去屑</t>
  </si>
  <si>
    <t>919818648328</t>
  </si>
  <si>
    <t>多芬沐浴露200ml舒缓薰衣草</t>
  </si>
  <si>
    <t>919823748674</t>
  </si>
  <si>
    <t>多芬洗发水1L防脱发</t>
  </si>
  <si>
    <t>921082035222</t>
  </si>
  <si>
    <t>多芬止汗滚珠50ml香梨芦荟</t>
  </si>
  <si>
    <t>921094999507</t>
  </si>
  <si>
    <t>多芬止汗膏40g极度清新男士</t>
  </si>
  <si>
    <t>921097187543</t>
  </si>
  <si>
    <t>多芬止汗膏40g无香</t>
  </si>
  <si>
    <t>921434906098</t>
  </si>
  <si>
    <t>多芬止汗滚珠50ml隐形干爽男士</t>
  </si>
  <si>
    <t>921436878582</t>
  </si>
  <si>
    <t>多芬止汗滚珠50ml净爽舒适动男士</t>
  </si>
  <si>
    <t>921448598653</t>
  </si>
  <si>
    <t>多芬止汗滚珠50ml黄瓜</t>
  </si>
  <si>
    <t>921462626783</t>
  </si>
  <si>
    <t>多芬止汗膏40g经典原味</t>
  </si>
  <si>
    <t>921957557918</t>
  </si>
  <si>
    <t>多芬止汗滚珠50ml经典原味</t>
  </si>
  <si>
    <t>921960137376</t>
  </si>
  <si>
    <t>多芬止汗滚珠50ml男士隐形清新</t>
  </si>
  <si>
    <t>921967333909</t>
  </si>
  <si>
    <t>多芬止汗滚珠50ml椰子茉莉</t>
  </si>
  <si>
    <t>921979505105</t>
  </si>
  <si>
    <t>多芬止汗滚珠50ml隐形干爽</t>
  </si>
  <si>
    <t>921995341382</t>
  </si>
  <si>
    <t>多芬止汗膏40g椰子</t>
  </si>
  <si>
    <t>922425704756</t>
  </si>
  <si>
    <t>多芬止汗滚珠50ml隐形止汗</t>
  </si>
  <si>
    <t>922430224210</t>
  </si>
  <si>
    <t>多芬止汗滚珠50ml石榴柠檬清新</t>
  </si>
  <si>
    <t>923700974013</t>
  </si>
  <si>
    <t>妮维雅止汗走珠50ml黑白出众</t>
  </si>
  <si>
    <t>926718732472</t>
  </si>
  <si>
    <t>高丝快速卸妆油替换装210ml/袋</t>
  </si>
  <si>
    <t>933884554340</t>
  </si>
  <si>
    <t>EveLom急救面膜50ml</t>
  </si>
  <si>
    <t>934363298854</t>
  </si>
  <si>
    <t>妮维雅止汗走珠50ml银离子防护淡木质香</t>
  </si>
  <si>
    <t>935442284346</t>
  </si>
  <si>
    <t>妮维雅止汗走珠50ml海洋酷爽</t>
  </si>
  <si>
    <t>935444432400</t>
  </si>
  <si>
    <t>妮维雅止汗走珠50ml极速干爽</t>
  </si>
  <si>
    <t>936903814119</t>
  </si>
  <si>
    <t>多芬护手霜75ml绿茶樱花香</t>
  </si>
  <si>
    <t>937996992790</t>
  </si>
  <si>
    <t>凡士林唇膏7g可可</t>
  </si>
  <si>
    <t>943709716000</t>
  </si>
  <si>
    <t>露华浓遮白发无氨水温和染发剂43号中金棕色</t>
  </si>
  <si>
    <t>943710015632</t>
  </si>
  <si>
    <t>露华浓遮白发无氨水温和染发剂51号浅棕色</t>
  </si>
  <si>
    <t>943710283216</t>
  </si>
  <si>
    <t>露华浓遮白发无氨水温和染发剂30号深褐色</t>
  </si>
  <si>
    <t>944144982690</t>
  </si>
  <si>
    <t>露华浓遮白发无氨水温和染发剂49号棕色</t>
  </si>
  <si>
    <t>944146182683</t>
  </si>
  <si>
    <t>露华浓遮白发无氨水温和染发剂32号酒红褐色</t>
  </si>
  <si>
    <t>944146506224</t>
  </si>
  <si>
    <t>露华浓遮白发无氨水温和染发剂41号中棕色</t>
  </si>
  <si>
    <t>944758693987</t>
  </si>
  <si>
    <t>露华浓遮白发无氨水温和染发剂40号中灰棕色</t>
  </si>
  <si>
    <t>944759085219</t>
  </si>
  <si>
    <t>露华浓遮白发无氨水温和染发剂33号深棕色</t>
  </si>
  <si>
    <t>944759093267</t>
  </si>
  <si>
    <t>露华浓遮白发无氨水温和染发剂50号深酒红棕色</t>
  </si>
  <si>
    <t>945303060105</t>
  </si>
  <si>
    <t>露华浓遮白发无氨水温和染发剂71号金色</t>
  </si>
  <si>
    <t>945303400443</t>
  </si>
  <si>
    <t>露华浓遮白发无氨水温和染发剂54号浅金棕色</t>
  </si>
  <si>
    <t>945303416229</t>
  </si>
  <si>
    <t>露华浓遮白发无氨水温和染发剂20号棕黑色</t>
  </si>
  <si>
    <t>953317245346</t>
  </si>
  <si>
    <t>妮维雅止汗走珠50ml长效干爽</t>
  </si>
  <si>
    <t>960052946593</t>
  </si>
  <si>
    <t>durex杜蕾斯超薄12支装</t>
  </si>
  <si>
    <t>783320423369</t>
  </si>
  <si>
    <t>宝格丽白水晶女士淡香木质花香 EDP 100ml</t>
  </si>
  <si>
    <t>783320425028</t>
  </si>
  <si>
    <t>宝格丽茶香系列淡香水绿茶淡香75ml 25年新版</t>
  </si>
  <si>
    <t>783320425479</t>
  </si>
  <si>
    <t>Bvlgari/宝格丽白晶 EDT女士淡香水 100ml 25年新版</t>
  </si>
  <si>
    <t>783320424199</t>
  </si>
  <si>
    <t>宝格丽 白水晶EDT套盒 100ml+15ml</t>
  </si>
  <si>
    <t>8011003869541</t>
  </si>
  <si>
    <t>莫斯奇诺 toy系列Q版香水套装5ml*5</t>
  </si>
  <si>
    <t>5056245021565</t>
  </si>
  <si>
    <t>潘海利根 女王的耳语 香水100ml</t>
  </si>
  <si>
    <t>5056245021275</t>
  </si>
  <si>
    <t>潘海利根 兽首系列 众人瞩目的山姆先生香水 75ml</t>
  </si>
  <si>
    <t>8011003839292</t>
  </si>
  <si>
    <t>莫斯奇诺 TOY2 萌萌熊香水 50ml</t>
  </si>
  <si>
    <t>7340032859744</t>
  </si>
  <si>
    <t>BYREDO非洲之旅护手霜</t>
  </si>
  <si>
    <t>7340032870671</t>
  </si>
  <si>
    <t>BYREDO无人之境护手霜30ml</t>
  </si>
  <si>
    <t>783320425523</t>
  </si>
  <si>
    <t>宝格丽紫晶淡香水花香调 EDT 50ml 25年新版</t>
  </si>
  <si>
    <t>783320425509</t>
  </si>
  <si>
    <t>宝格丽白水晶女士淡香木质花香 EDP 50ml 25年新版</t>
  </si>
  <si>
    <t>783320423291</t>
  </si>
  <si>
    <t>宝格丽白晶香氛 EDP香水50ml</t>
  </si>
  <si>
    <t>783320426278</t>
  </si>
  <si>
    <t>宝格丽 白水晶EDT套盒</t>
  </si>
  <si>
    <t>783320425486</t>
  </si>
  <si>
    <t>宝格丽紫晶香水 EDP 100ml 25年新版</t>
  </si>
  <si>
    <t>5056245026416</t>
  </si>
  <si>
    <t>潘海利根 静谧檀木香水 100ml</t>
  </si>
  <si>
    <t>7290108926552</t>
  </si>
  <si>
    <t>sabon 二合一舒活薄荷面部磨砂膏 200ml</t>
  </si>
  <si>
    <t>7290114041249</t>
  </si>
  <si>
    <t>sabon 二合一疗愈薰衣草面部磨砂膏 200ml</t>
  </si>
  <si>
    <t>7290108926682</t>
  </si>
  <si>
    <t>sabon 补水保湿靓肤玫瑰花胶面膜30ml</t>
  </si>
  <si>
    <t>7290114042284</t>
  </si>
  <si>
    <t>sabon 居家香薰喷雾100ml 白茶与佛手柑</t>
  </si>
  <si>
    <t>7340032859331</t>
  </si>
  <si>
    <t>BYREDO柏芮朵吉普赛之水沐浴胶225ml</t>
  </si>
  <si>
    <t>3548752225083</t>
  </si>
  <si>
    <t>玫珂菲 高光套装（H100 4g+S400 4g）</t>
  </si>
  <si>
    <t>5056245021237</t>
  </si>
  <si>
    <t>潘海利根 兽首系列 布兰奇夫人的复仇香水 75ml</t>
  </si>
  <si>
    <t>7340032824667</t>
  </si>
  <si>
    <t>BYREDO无人区玫瑰身体乳霜200ml</t>
  </si>
  <si>
    <t>7290118806257</t>
  </si>
  <si>
    <t>sabon 广藿香薰衣草香草丝滑身体乳200ml</t>
  </si>
  <si>
    <t>7290114049146</t>
  </si>
  <si>
    <t>sabon 珍萃玫瑰二合一面部磨砂膏 125ml</t>
  </si>
  <si>
    <t>7290108922370</t>
  </si>
  <si>
    <t>sabon 绿玫瑰静电洗发乳300ml</t>
  </si>
  <si>
    <t>5056245035883</t>
  </si>
  <si>
    <t>潘海利根 心灵奇境系列探索套装5*2ml</t>
  </si>
  <si>
    <t>7290114046084</t>
  </si>
  <si>
    <t>sabon 茉莉山茶花全效天然护理洗发露300ml</t>
  </si>
  <si>
    <t>5056245045387</t>
  </si>
  <si>
    <t>潘海利根 不夜威士忌 EDP100ml</t>
  </si>
  <si>
    <t>7340032860023</t>
  </si>
  <si>
    <t>BYREDO 柏芮朵莫哈维之影身体乳霜 200ml</t>
  </si>
  <si>
    <t>4971710378481</t>
  </si>
  <si>
    <t>黛珂 心悦容光调光师定妆散粉#01</t>
  </si>
  <si>
    <t>4971710378450</t>
  </si>
  <si>
    <t>黛珂 心悦容光调光师定妆散粉#02</t>
  </si>
  <si>
    <t>4971710378429</t>
  </si>
  <si>
    <t>黛珂 心悦容光调光师定妆散粉#04</t>
  </si>
  <si>
    <t>4971710378443</t>
  </si>
  <si>
    <t>黛珂 心悦容光调光师定妆散粉#03</t>
  </si>
  <si>
    <t>3548752205788</t>
  </si>
  <si>
    <t>玫珂菲 高清无痕水光持妆粉底液#1N06 30ml</t>
  </si>
  <si>
    <t>7340032810257</t>
  </si>
  <si>
    <t>byredo吉普赛之水身体乳225ml</t>
  </si>
  <si>
    <t>3548752207584</t>
  </si>
  <si>
    <t>玫珂菲 新品超微定妆散粉18g #2.1</t>
  </si>
  <si>
    <t>兰蔻 是我淡香水 50ml</t>
  </si>
  <si>
    <t>7340032824650</t>
  </si>
  <si>
    <t>byredo无人区玫瑰（无人之境）身体乳225ml</t>
  </si>
  <si>
    <t>7290114044905</t>
  </si>
  <si>
    <t>sabon 绅士沐浴油400ml</t>
  </si>
  <si>
    <t>4935421768948</t>
  </si>
  <si>
    <t>YSL 圣罗兰水光皮革粉气垫 BR20</t>
  </si>
  <si>
    <t>3548752205733</t>
  </si>
  <si>
    <t>玫珂菲 高清无痕水光持妆粉底液#1Y00 30ml</t>
  </si>
  <si>
    <t>4971710378498</t>
  </si>
  <si>
    <t>黛珂 心悦容光调光师四色散粉#101</t>
  </si>
  <si>
    <t>5056245010811</t>
  </si>
  <si>
    <t>潘海利根 兽首系列 荣耀世界的亚瑟75ml</t>
  </si>
  <si>
    <t>4935421013888</t>
  </si>
  <si>
    <t>植村秀砍刀眉笔 02灰棕色</t>
  </si>
  <si>
    <t>7290118800903</t>
  </si>
  <si>
    <t>sabon 沁心死海盐头皮磨砂膏300g</t>
  </si>
  <si>
    <t>4936968814372</t>
  </si>
  <si>
    <t>植村秀 琥珀新臻萃卸妆油150ml</t>
  </si>
  <si>
    <t>3548752205801</t>
  </si>
  <si>
    <t>玫珂菲 高清无痕水光持妆粉底液#1Y08 30ml</t>
  </si>
  <si>
    <t>3548752205771</t>
  </si>
  <si>
    <t>玫珂菲 高清无痕水光持妆粉底液#1Y06 30ml</t>
  </si>
  <si>
    <t>黛珂 心悦容光调光师定妆散粉#00</t>
  </si>
  <si>
    <t>3548752205757</t>
  </si>
  <si>
    <t>玫珂菲 高清无痕水光持妆粉底液#1R02 30ml</t>
  </si>
  <si>
    <t>5056245026409</t>
  </si>
  <si>
    <t>潘海利根 心灵奇境系列炽烈玫瑰100ml</t>
  </si>
  <si>
    <t>3548752194662</t>
  </si>
  <si>
    <t>玫珂菲 仿真肌丝绒粉饼#1Y08 11g</t>
  </si>
  <si>
    <t>3548752207522</t>
  </si>
  <si>
    <t>玫珂菲 新品超微定妆散粉18g #0.1</t>
  </si>
  <si>
    <t>3548752207577</t>
  </si>
  <si>
    <t>玫珂菲 新品超微定妆散粉18g #1.2</t>
  </si>
  <si>
    <t>4971710364460</t>
  </si>
  <si>
    <t>黛珂 植物韵律洁面泡沫200ml</t>
  </si>
  <si>
    <t>3548752207539</t>
  </si>
  <si>
    <t>玫珂菲 新品超微定妆散粉18g #0.2</t>
  </si>
  <si>
    <t>3548752199506</t>
  </si>
  <si>
    <t>玫珂菲 保湿定妆喷雾旅行套装100ml*2+30ml*1</t>
  </si>
  <si>
    <t>4971710378467</t>
  </si>
  <si>
    <t>黛珂 心悦容光调光师定妆散粉#06</t>
  </si>
  <si>
    <t>3548752205740</t>
  </si>
  <si>
    <t>玫珂菲 高清无痕水光持妆粉底液#1N02 30ml</t>
  </si>
  <si>
    <t>3548752207546</t>
  </si>
  <si>
    <t>玫珂菲 新品超微定妆散粉18g #0.3</t>
  </si>
  <si>
    <t>3548752205726</t>
  </si>
  <si>
    <t>玫珂菲 高清无痕水光持妆粉底液#1R00 30ml</t>
  </si>
  <si>
    <t>3548752174329</t>
  </si>
  <si>
    <t>玫珂菲STEP1隔离妆前乳#01 灰色毛孔隐形</t>
  </si>
  <si>
    <t>3548752185202</t>
  </si>
  <si>
    <t>makeupforever玫珂菲仿真肌粉底液持妆服帖遮瑕1N10色号 30ml</t>
  </si>
  <si>
    <t>3548752185189</t>
  </si>
  <si>
    <t>makeupforever玫珂菲仿真肌粉底液持妆服帖遮瑕1N06色号 30ml</t>
  </si>
  <si>
    <t>3548752185172</t>
  </si>
  <si>
    <t>makeupforever玫珂菲仿真肌粉底液持妆服帖遮瑕1Y04色号 30ml</t>
  </si>
  <si>
    <t>3548752185196</t>
  </si>
  <si>
    <t>makeupforever玫珂菲仿真肌粉底液持妆服帖遮瑕1Y08色号 30ml</t>
  </si>
  <si>
    <t>3548752198257</t>
  </si>
  <si>
    <t>MakeUpForEver玫珂菲明星挚爱立体修容腮红高光H100</t>
  </si>
  <si>
    <t>3548752185226</t>
  </si>
  <si>
    <t>makeupforever玫珂菲仿真肌粉底液持妆服帖遮瑕 1N14色号 30ML</t>
  </si>
  <si>
    <t>3548752194624</t>
  </si>
  <si>
    <t>MakeUpForEver玫珂菲仿真肌丝绒粉饼持久遮瑕 1N00色号</t>
  </si>
  <si>
    <t>3548752196420</t>
  </si>
  <si>
    <t>MakeUpForEver玫珂菲哑光控油定妆喷雾持久锁妆油皮100ml</t>
  </si>
  <si>
    <t>4909978131609</t>
  </si>
  <si>
    <t>安热沙安耐晒粉金瓶防晒霜90ml防水防汗防紫外线清爽温和面部隔离</t>
  </si>
  <si>
    <t>3548752174367</t>
  </si>
  <si>
    <t>MakeUpForEver玫珂菲STEP1隔离妆前乳自然持久底妆修颜均肤05</t>
  </si>
  <si>
    <t>3548752194655</t>
  </si>
  <si>
    <t>MakeUpForEver玫珂菲仿真肌丝绒粉饼持久遮瑕 1N06色号</t>
  </si>
  <si>
    <t>3548752185219</t>
  </si>
  <si>
    <t>makeupforever玫珂菲仿真肌粉底液持妆服帖遮瑕1R12色号30ml</t>
  </si>
  <si>
    <t>3548752185158</t>
  </si>
  <si>
    <t>makeupforever玫珂菲仿真肌粉底液持妆服帖遮瑕1N00色号 30ml</t>
  </si>
  <si>
    <t>3548752194716</t>
  </si>
  <si>
    <t>MakeUpForEver玫珂菲仿真肌丝绒粉饼持久遮瑕 1Y18小麦色</t>
  </si>
  <si>
    <t>3548752185233</t>
  </si>
  <si>
    <t>makeupforever玫珂菲仿真肌粉底液持妆服帖遮瑕 1Y16色号 30ML</t>
  </si>
  <si>
    <t>8011003839285</t>
  </si>
  <si>
    <t>moschino/莫斯奇诺TOY2 EDP 萌萌熊香水30ml</t>
  </si>
  <si>
    <t>3548752207560</t>
  </si>
  <si>
    <t>MAKEUPFOREVER/玫珂菲微米散粉超微定妆散粉1.1香草色</t>
  </si>
  <si>
    <t>3548752174312</t>
  </si>
  <si>
    <t>MakeUpForEver玫珂菲STEP1隔离妆前乳自然持久底妆控油哑光00</t>
  </si>
  <si>
    <t>3548752185165</t>
  </si>
  <si>
    <t>makeupforever玫珂菲仿真肌粉底液持妆服帖遮瑕1R02色号30ml</t>
  </si>
  <si>
    <t>Bvlgari/宝格丽白晶 EDT女士淡香水 50ml</t>
  </si>
  <si>
    <t>783320424991</t>
  </si>
  <si>
    <t>Bvlgari/宝格丽悠境白茶淡香水中性香氛持久留香男女士75ml</t>
  </si>
  <si>
    <t>序号</t>
    <phoneticPr fontId="2" type="noConversion"/>
  </si>
  <si>
    <t>1</t>
    <phoneticPr fontId="2" type="noConversion"/>
  </si>
  <si>
    <t>2</t>
    <phoneticPr fontId="2" type="noConversion"/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</si>
  <si>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</si>
  <si>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</si>
  <si>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</si>
  <si>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</si>
  <si>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</si>
  <si>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</si>
  <si>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</si>
  <si>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</si>
  <si>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</si>
  <si>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</si>
  <si>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</si>
  <si>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</si>
  <si>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</si>
  <si>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</si>
  <si>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</si>
  <si>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</si>
  <si>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</si>
  <si>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</si>
  <si>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</si>
  <si>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</si>
  <si>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</si>
  <si>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</si>
  <si>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</si>
  <si>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</si>
  <si>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</si>
  <si>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</si>
  <si>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</si>
  <si>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</si>
  <si>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</si>
  <si>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</si>
  <si>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</si>
  <si>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</si>
  <si>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</si>
  <si>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</si>
  <si>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</si>
  <si>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</si>
  <si>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</si>
  <si>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</si>
  <si>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</si>
  <si>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</si>
  <si>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</si>
  <si>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</si>
  <si>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</si>
  <si>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</si>
  <si>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</si>
  <si>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</si>
  <si>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</si>
  <si>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</si>
  <si>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</si>
  <si>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</si>
  <si>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</si>
  <si>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</si>
  <si>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</si>
  <si>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</si>
  <si>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</si>
  <si>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</si>
  <si>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</si>
  <si>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</si>
  <si>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</si>
  <si>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</si>
  <si>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</si>
  <si>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</si>
  <si>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</si>
  <si>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</si>
  <si>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</si>
  <si>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</si>
  <si>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</si>
  <si>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</si>
  <si>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</si>
  <si>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</si>
  <si>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</si>
  <si>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</si>
  <si>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</si>
  <si>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</si>
  <si>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</si>
  <si>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</si>
  <si>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</si>
  <si>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</si>
  <si>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</si>
  <si>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</si>
  <si>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</si>
  <si>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</si>
  <si>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</si>
  <si>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</si>
  <si>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</si>
  <si>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</si>
  <si>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</si>
  <si>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</si>
  <si>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</si>
  <si>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</si>
  <si>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</si>
  <si>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</si>
  <si>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</si>
  <si>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</si>
  <si>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</si>
  <si>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</si>
  <si>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</si>
  <si>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</si>
  <si>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</si>
  <si>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</si>
  <si>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</si>
  <si>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</si>
  <si>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</si>
  <si>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</si>
  <si>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</si>
  <si>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</si>
  <si>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</si>
  <si>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</si>
  <si>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</si>
  <si>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</si>
  <si>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</si>
  <si>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</si>
  <si>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</si>
  <si>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</si>
  <si>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</si>
  <si>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</si>
  <si>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</si>
  <si>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</si>
  <si>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</si>
  <si>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</si>
  <si>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</si>
  <si>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</si>
  <si>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</si>
  <si>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</si>
  <si>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</si>
  <si>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</si>
  <si>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</si>
  <si>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</si>
  <si>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</si>
  <si>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</si>
  <si>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</si>
  <si>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</si>
  <si>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</si>
  <si>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</si>
  <si>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</si>
  <si>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</si>
  <si>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</si>
  <si>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</si>
  <si>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</si>
  <si>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</si>
  <si>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</si>
  <si>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</si>
  <si>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</si>
  <si>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</si>
  <si>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</si>
  <si>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</si>
  <si>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</si>
  <si>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</si>
  <si>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</si>
  <si>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</si>
  <si>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</si>
  <si>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</si>
  <si>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</si>
  <si>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</si>
  <si>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</si>
  <si>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</si>
  <si>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</si>
  <si>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</si>
  <si>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</si>
  <si>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</si>
  <si>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</si>
  <si>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</si>
  <si>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</si>
  <si>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</si>
  <si>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</si>
  <si>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</si>
  <si>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</si>
  <si>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</si>
  <si>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</si>
  <si>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</si>
  <si>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</si>
  <si>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</si>
  <si>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</si>
  <si>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</si>
  <si>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</si>
  <si>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</si>
  <si>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</si>
  <si>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</si>
  <si>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</si>
  <si>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</si>
  <si>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</si>
  <si>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</si>
  <si>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</si>
  <si>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</si>
  <si>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</si>
  <si>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</si>
  <si>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</si>
  <si>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</si>
  <si>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</si>
  <si>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</si>
  <si>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</si>
  <si>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</si>
  <si>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</si>
  <si>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</si>
  <si>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</si>
  <si>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</si>
  <si>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</si>
  <si>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</si>
  <si>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</si>
  <si>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</si>
  <si>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</si>
  <si>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</si>
  <si>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</si>
  <si>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</si>
  <si>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</si>
  <si>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</si>
  <si>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</si>
  <si>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</si>
  <si>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</si>
  <si>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</si>
  <si>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</si>
  <si>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</si>
  <si>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</si>
  <si>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</si>
  <si>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</si>
  <si>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</si>
  <si>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</si>
  <si>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</si>
  <si>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</si>
  <si>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</si>
  <si>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</si>
  <si>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</si>
  <si>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</si>
  <si>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</si>
  <si>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</si>
  <si>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</si>
  <si>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</si>
  <si>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</si>
  <si>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</si>
  <si>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</si>
  <si>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</si>
  <si>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</si>
  <si>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</si>
  <si>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</si>
  <si>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</si>
  <si>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</si>
  <si>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</si>
  <si>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</si>
  <si>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</si>
  <si>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</si>
  <si>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</si>
  <si>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</si>
  <si>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</si>
  <si>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</si>
  <si>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</si>
  <si>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</si>
  <si>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</si>
  <si>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</si>
  <si>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</si>
  <si>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</si>
  <si>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</si>
  <si>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</si>
  <si>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</si>
  <si>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</si>
  <si>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</si>
  <si>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</si>
  <si>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</si>
  <si>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</si>
  <si>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</si>
  <si>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</si>
  <si>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</si>
  <si>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</si>
  <si>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</si>
  <si>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</si>
  <si>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</si>
  <si>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</si>
  <si>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</si>
  <si>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</si>
  <si>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</si>
  <si>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</si>
  <si>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</si>
  <si>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</si>
  <si>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</si>
  <si>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</si>
  <si>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</si>
  <si>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</si>
  <si>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</si>
  <si>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</si>
  <si>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</si>
  <si>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</si>
  <si>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</si>
  <si>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</si>
  <si>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</si>
  <si>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</si>
  <si>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</si>
  <si>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</si>
  <si>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</si>
  <si>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</si>
  <si>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</si>
  <si>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</si>
  <si>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</si>
  <si>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</si>
  <si>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</si>
  <si>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</si>
  <si>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</si>
  <si>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</si>
  <si>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</si>
  <si>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</si>
  <si>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</si>
  <si>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</si>
  <si>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</si>
  <si>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</si>
  <si>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</si>
  <si>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</si>
  <si>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</si>
  <si>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</si>
  <si>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</si>
  <si>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</si>
  <si>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</si>
  <si>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</si>
  <si>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</si>
  <si>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</si>
  <si>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</si>
  <si>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</si>
  <si>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</si>
  <si>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</si>
  <si>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</si>
  <si>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</si>
  <si>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</si>
  <si>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</si>
  <si>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</si>
  <si>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</si>
  <si>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</si>
  <si>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</si>
  <si>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</si>
  <si>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</si>
  <si>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</si>
  <si>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</si>
  <si>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</si>
  <si>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</si>
  <si>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</si>
  <si>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</si>
  <si>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</si>
  <si>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</si>
  <si>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</si>
  <si>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</si>
  <si>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</si>
  <si>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</si>
  <si>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</si>
  <si>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</si>
  <si>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</si>
  <si>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</si>
  <si>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</si>
  <si>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</si>
  <si>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</si>
  <si>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</si>
  <si>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</si>
  <si>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</si>
  <si>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</si>
  <si>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</si>
  <si>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</si>
  <si>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</si>
  <si>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</si>
  <si>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</si>
  <si>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</si>
  <si>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</si>
  <si>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</si>
  <si>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</si>
  <si>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</si>
  <si>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</si>
  <si>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</si>
  <si>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</si>
  <si>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</si>
  <si>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</si>
  <si>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</si>
  <si>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</si>
  <si>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</si>
  <si>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</si>
  <si>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</si>
  <si>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</si>
  <si>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</si>
  <si>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</si>
  <si>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</si>
  <si>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</si>
  <si>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</si>
  <si>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</si>
  <si>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</si>
  <si>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</si>
  <si>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</si>
  <si>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</si>
  <si>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</si>
  <si>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</si>
  <si>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</si>
  <si>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</si>
  <si>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</si>
  <si>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</si>
  <si>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</si>
  <si>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</si>
  <si>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</si>
  <si>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</si>
  <si>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</si>
  <si>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</si>
  <si>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</si>
  <si>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</si>
  <si>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</si>
  <si>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</si>
  <si>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</si>
  <si>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</si>
  <si>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</si>
  <si>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</si>
  <si>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</si>
  <si>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</si>
  <si>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</si>
  <si>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</si>
  <si>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</si>
  <si>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</si>
  <si>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</si>
  <si>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</si>
  <si>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</si>
  <si>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</si>
  <si>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</si>
  <si>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</si>
  <si>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</si>
  <si>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</si>
  <si>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</si>
  <si>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</si>
  <si>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</si>
  <si>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马来西亚旧街场三合一经典原味白咖啡525g</t>
    <phoneticPr fontId="2" type="noConversion"/>
  </si>
  <si>
    <t>POLA 黑BA洁面</t>
    <phoneticPr fontId="2" type="noConversion"/>
  </si>
  <si>
    <t>VAPE未來驅蚊液海藍柑橘噴霧200ml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</si>
</sst>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11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1" fontId="0" fillId="2" borderId="0" xfId="0" applyNumberFormat="1" applyFill="1" applyAlignment="1">
      <alignment horizontal="center" vertical="center"/>
    </xf>
    <xf numFmtId="0" fontId="0" fillId="3" borderId="0" xfId="0" applyFill="1">
      <alignment vertical="center"/>
    </xf>
    <xf numFmtId="49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/>
    </xf>
    <xf numFmtId="49" fontId="1" fillId="0" borderId="0" xfId="0" applyNumberFormat="1" applyFont="1">
      <alignment vertical="center"/>
    </xf>
    <xf numFmtId="49" fontId="1" fillId="0" borderId="0" xfId="0" applyNumberFormat="1" applyFont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vertical="center" wrapText="1"/>
    </xf>
    <xf numFmtId="49" fontId="1" fillId="3" borderId="0" xfId="0" applyNumberFormat="1" applyFont="1" applyFill="1" applyAlignment="1">
      <alignment horizontal="left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常规" xfId="0" builtinId="0"/>
  </cellStyles>
  <dxfs count="76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5"/>
      <tableStyleElement type="headerRow" dxfId="74"/>
      <tableStyleElement type="totalRow" dxfId="73"/>
      <tableStyleElement type="firstColumn" dxfId="72"/>
      <tableStyleElement type="lastColumn" dxfId="71"/>
      <tableStyleElement type="firstRowStripe" dxfId="70"/>
      <tableStyleElement type="firstColumnStripe" dxfId="69"/>
    </tableStyle>
    <tableStyle name="PivotStylePreset2_Accent1" table="0" count="10" xr9:uid="{267968C8-6FFD-4C36-ACC1-9EA1FD1885CA}">
      <tableStyleElement type="headerRow" dxfId="68"/>
      <tableStyleElement type="totalRow" dxfId="67"/>
      <tableStyleElement type="firstRowStripe" dxfId="66"/>
      <tableStyleElement type="firstColumnStripe" dxfId="65"/>
      <tableStyleElement type="firstSubtotalRow" dxfId="64"/>
      <tableStyleElement type="secondSubtotalRow" dxfId="63"/>
      <tableStyleElement type="firstRowSubheading" dxfId="62"/>
      <tableStyleElement type="secondRowSubheading" dxfId="61"/>
      <tableStyleElement type="pageFieldLabels" dxfId="60"/>
      <tableStyleElement type="pageFieldValues" dxfId="59"/>
    </tableStyle>
  </tableStyles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0"/>
  <sheetViews>
    <sheetView tabSelected="1" workbookViewId="0">
      <pane ySplit="1" topLeftCell="A21" activePane="bottomLeft" state="frozen"/>
      <selection pane="bottomLeft" activeCell="C43" sqref="C43"/>
    </sheetView>
  </sheetViews>
  <sheetFormatPr baseColWidth="10" defaultColWidth="9.1640625" defaultRowHeight="13.5" customHeight="1"/>
  <cols>
    <col min="1" max="1" width="35.83203125" style="7" customWidth="1"/>
    <col min="2" max="2" width="11.5" style="7" customWidth="1"/>
    <col min="3" max="3" width="48" style="8" customWidth="1"/>
    <col min="4" max="4" width="47.1640625" style="8" customWidth="1"/>
    <col min="5" max="5" width="22.1640625" hidden="1" customWidth="1"/>
    <col min="6" max="6" width="22.1640625" style="16" customWidth="1"/>
    <col min="7" max="7" width="19.1640625" style="16" hidden="1" customWidth="1"/>
    <col min="8" max="8" width="18.33203125" style="16" customWidth="1"/>
  </cols>
  <sheetData>
    <row r="1" spans="1:8" ht="14">
      <c r="A1" s="6" t="s">
        <v>0</v>
      </c>
      <c r="B1" s="6" t="s">
        <v>2160</v>
      </c>
      <c r="C1" s="6" t="s">
        <v>1</v>
      </c>
      <c r="D1" s="6" t="s">
        <v>2</v>
      </c>
      <c r="E1" t="s">
        <v>3</v>
      </c>
      <c r="F1" s="15" t="s">
        <v>4</v>
      </c>
      <c r="G1" s="9" t="s">
        <v>5</v>
      </c>
      <c r="H1" s="9" t="s">
        <v>6</v>
      </c>
    </row>
    <row r="2" spans="1:8" ht="14">
      <c r="A2" s="3" t="s">
        <v>7</v>
      </c>
      <c r="B2" s="3" t="s">
        <v>2161</v>
      </c>
      <c r="C2" s="3" t="s">
        <v>8</v>
      </c>
      <c r="D2" s="3" t="s">
        <v>9</v>
      </c>
      <c r="E2" s="4">
        <v>551</v>
      </c>
      <c r="F2" s="16">
        <v>490</v>
      </c>
      <c r="G2" s="16">
        <v>399</v>
      </c>
      <c r="H2" s="16">
        <v>245</v>
      </c>
    </row>
    <row r="3" spans="1:8" ht="14">
      <c r="A3" s="3" t="s">
        <v>10</v>
      </c>
      <c r="B3" s="3" t="s">
        <v>2162</v>
      </c>
      <c r="C3" s="3" t="s">
        <v>11</v>
      </c>
      <c r="D3" s="3" t="s">
        <v>11</v>
      </c>
      <c r="E3" s="4">
        <v>205</v>
      </c>
      <c r="F3" s="16">
        <v>250</v>
      </c>
      <c r="G3" s="16">
        <v>182</v>
      </c>
      <c r="H3" s="16">
        <v>150</v>
      </c>
    </row>
    <row r="4" spans="1:8" ht="14">
      <c r="A4" s="3" t="s">
        <v>12</v>
      </c>
      <c r="B4" s="3" t="s">
        <v>2163</v>
      </c>
      <c r="C4" s="3" t="s">
        <v>13</v>
      </c>
      <c r="D4" s="3" t="s">
        <v>14</v>
      </c>
      <c r="E4" s="4">
        <v>230</v>
      </c>
      <c r="F4" s="16">
        <v>288</v>
      </c>
      <c r="G4" s="16">
        <v>189</v>
      </c>
      <c r="H4" s="16">
        <v>180</v>
      </c>
    </row>
    <row r="5" spans="1:8" ht="14">
      <c r="A5" s="3" t="s">
        <v>15</v>
      </c>
      <c r="B5" s="3" t="s">
        <v>2164</v>
      </c>
      <c r="C5" s="3" t="s">
        <v>16</v>
      </c>
      <c r="D5" s="3" t="s">
        <v>17</v>
      </c>
      <c r="E5" s="4">
        <v>279</v>
      </c>
      <c r="F5" s="16">
        <v>220</v>
      </c>
      <c r="G5" s="16">
        <v>198</v>
      </c>
      <c r="H5" s="16">
        <v>170</v>
      </c>
    </row>
    <row r="6" spans="1:8" ht="14">
      <c r="A6" s="3" t="s">
        <v>18</v>
      </c>
      <c r="B6" s="3" t="s">
        <v>2165</v>
      </c>
      <c r="C6" s="3" t="s">
        <v>19</v>
      </c>
      <c r="D6" s="3" t="s">
        <v>20</v>
      </c>
      <c r="E6" s="4">
        <v>91</v>
      </c>
      <c r="F6" s="16">
        <v>110</v>
      </c>
      <c r="G6" s="16">
        <v>73</v>
      </c>
      <c r="H6" s="16">
        <v>90</v>
      </c>
    </row>
    <row r="7" spans="1:8" ht="14">
      <c r="A7" s="3" t="s">
        <v>21</v>
      </c>
      <c r="B7" s="3" t="s">
        <v>2166</v>
      </c>
      <c r="C7" s="3" t="s">
        <v>22</v>
      </c>
      <c r="D7" s="3" t="s">
        <v>22</v>
      </c>
      <c r="E7" s="4">
        <v>84</v>
      </c>
      <c r="F7" s="16">
        <v>150</v>
      </c>
      <c r="G7" s="16">
        <v>63</v>
      </c>
      <c r="H7" s="16">
        <v>60</v>
      </c>
    </row>
    <row r="8" spans="1:8" ht="14">
      <c r="A8" s="3" t="s">
        <v>23</v>
      </c>
      <c r="B8" s="3" t="s">
        <v>2167</v>
      </c>
      <c r="C8" s="3" t="s">
        <v>24</v>
      </c>
      <c r="D8" s="3" t="s">
        <v>24</v>
      </c>
      <c r="E8" s="4">
        <v>158</v>
      </c>
      <c r="F8" s="16">
        <v>170</v>
      </c>
      <c r="G8" s="16">
        <v>149</v>
      </c>
      <c r="H8" s="16">
        <v>120</v>
      </c>
    </row>
    <row r="9" spans="1:8" ht="14">
      <c r="A9" s="3" t="s">
        <v>25</v>
      </c>
      <c r="B9" s="3" t="s">
        <v>2168</v>
      </c>
      <c r="C9" s="3" t="s">
        <v>26</v>
      </c>
      <c r="D9" s="3" t="s">
        <v>27</v>
      </c>
      <c r="E9" s="4">
        <v>349</v>
      </c>
      <c r="F9" s="16">
        <v>450</v>
      </c>
      <c r="G9" s="16">
        <v>231</v>
      </c>
      <c r="H9" s="16">
        <v>378</v>
      </c>
    </row>
    <row r="10" spans="1:8" ht="14">
      <c r="A10" s="3" t="s">
        <v>28</v>
      </c>
      <c r="B10" s="3" t="s">
        <v>2169</v>
      </c>
      <c r="C10" s="3" t="s">
        <v>29</v>
      </c>
      <c r="D10" s="3" t="s">
        <v>30</v>
      </c>
      <c r="E10" s="4">
        <v>349</v>
      </c>
      <c r="F10" s="16">
        <v>349</v>
      </c>
      <c r="G10" s="16">
        <v>231</v>
      </c>
      <c r="H10" s="16">
        <v>278</v>
      </c>
    </row>
    <row r="11" spans="1:8" ht="14">
      <c r="A11" s="3" t="s">
        <v>31</v>
      </c>
      <c r="B11" s="3" t="s">
        <v>2170</v>
      </c>
      <c r="C11" s="3" t="s">
        <v>32</v>
      </c>
      <c r="D11" s="3" t="s">
        <v>33</v>
      </c>
      <c r="E11" s="4">
        <v>207</v>
      </c>
      <c r="F11" s="16">
        <v>260</v>
      </c>
      <c r="G11" s="16">
        <v>200</v>
      </c>
      <c r="H11" s="16">
        <v>189</v>
      </c>
    </row>
    <row r="12" spans="1:8" ht="14">
      <c r="A12" s="3" t="s">
        <v>34</v>
      </c>
      <c r="B12" s="3" t="s">
        <v>2171</v>
      </c>
      <c r="C12" s="3" t="s">
        <v>35</v>
      </c>
      <c r="D12" s="3" t="s">
        <v>35</v>
      </c>
      <c r="E12" s="4">
        <v>222</v>
      </c>
      <c r="F12" s="16">
        <v>260</v>
      </c>
      <c r="G12" s="16">
        <v>200</v>
      </c>
      <c r="H12" s="16">
        <v>189</v>
      </c>
    </row>
    <row r="13" spans="1:8" ht="14">
      <c r="A13" s="3" t="s">
        <v>36</v>
      </c>
      <c r="B13" s="3" t="s">
        <v>2172</v>
      </c>
      <c r="C13" s="3" t="s">
        <v>37</v>
      </c>
      <c r="D13" s="3" t="s">
        <v>38</v>
      </c>
      <c r="E13" s="4">
        <v>200</v>
      </c>
      <c r="F13" s="16">
        <v>260</v>
      </c>
      <c r="G13" s="16">
        <v>200</v>
      </c>
      <c r="H13" s="16">
        <v>189</v>
      </c>
    </row>
    <row r="14" spans="1:8" ht="14">
      <c r="A14" s="3" t="s">
        <v>39</v>
      </c>
      <c r="B14" s="3" t="s">
        <v>2173</v>
      </c>
      <c r="C14" s="3" t="s">
        <v>40</v>
      </c>
      <c r="D14" s="3" t="s">
        <v>41</v>
      </c>
      <c r="E14" s="4">
        <v>222</v>
      </c>
      <c r="F14" s="16">
        <v>260</v>
      </c>
      <c r="G14" s="16">
        <v>200</v>
      </c>
      <c r="H14" s="16">
        <v>189</v>
      </c>
    </row>
    <row r="15" spans="1:8" ht="14">
      <c r="A15" s="3" t="s">
        <v>42</v>
      </c>
      <c r="B15" s="3" t="s">
        <v>2174</v>
      </c>
      <c r="C15" s="3" t="s">
        <v>43</v>
      </c>
      <c r="D15" s="3" t="s">
        <v>44</v>
      </c>
      <c r="E15" s="4">
        <v>245</v>
      </c>
      <c r="F15" s="16">
        <v>260</v>
      </c>
      <c r="G15" s="16">
        <v>235</v>
      </c>
      <c r="H15" s="16">
        <v>145</v>
      </c>
    </row>
    <row r="16" spans="1:8" ht="14">
      <c r="A16" s="3" t="s">
        <v>45</v>
      </c>
      <c r="B16" s="3" t="s">
        <v>2175</v>
      </c>
      <c r="C16" s="3" t="s">
        <v>46</v>
      </c>
      <c r="D16" s="3" t="s">
        <v>47</v>
      </c>
      <c r="E16" s="4">
        <v>215</v>
      </c>
      <c r="F16" s="16">
        <v>240</v>
      </c>
      <c r="G16" s="16">
        <v>200</v>
      </c>
      <c r="H16" s="16">
        <v>169</v>
      </c>
    </row>
    <row r="17" spans="1:8" ht="14">
      <c r="A17" s="3" t="s">
        <v>48</v>
      </c>
      <c r="B17" s="3" t="s">
        <v>2176</v>
      </c>
      <c r="C17" s="3" t="s">
        <v>49</v>
      </c>
      <c r="D17" s="3" t="s">
        <v>50</v>
      </c>
      <c r="E17" s="4">
        <v>208</v>
      </c>
      <c r="F17" s="16">
        <v>305</v>
      </c>
      <c r="G17" s="16">
        <v>200</v>
      </c>
      <c r="H17" s="16">
        <v>175</v>
      </c>
    </row>
    <row r="18" spans="1:8" ht="14">
      <c r="A18" s="3" t="s">
        <v>51</v>
      </c>
      <c r="B18" s="3" t="s">
        <v>2177</v>
      </c>
      <c r="C18" s="3" t="s">
        <v>52</v>
      </c>
      <c r="D18" s="3" t="s">
        <v>53</v>
      </c>
      <c r="E18" s="4">
        <v>148</v>
      </c>
      <c r="F18" s="16">
        <v>160</v>
      </c>
      <c r="G18" s="16">
        <v>112</v>
      </c>
      <c r="H18" s="16">
        <v>138</v>
      </c>
    </row>
    <row r="19" spans="1:8" ht="14">
      <c r="A19" s="3" t="s">
        <v>54</v>
      </c>
      <c r="B19" s="3" t="s">
        <v>2178</v>
      </c>
      <c r="C19" s="3" t="s">
        <v>55</v>
      </c>
      <c r="D19" s="3" t="s">
        <v>55</v>
      </c>
      <c r="E19" s="4">
        <v>144</v>
      </c>
      <c r="F19" s="16">
        <v>200</v>
      </c>
      <c r="G19" s="16">
        <v>136</v>
      </c>
      <c r="H19" s="16">
        <v>163</v>
      </c>
    </row>
    <row r="20" spans="1:8" ht="14">
      <c r="A20" s="3" t="s">
        <v>56</v>
      </c>
      <c r="B20" s="3" t="s">
        <v>2179</v>
      </c>
      <c r="C20" s="3" t="s">
        <v>57</v>
      </c>
      <c r="D20" s="3" t="s">
        <v>58</v>
      </c>
      <c r="E20" s="4">
        <v>165</v>
      </c>
      <c r="F20" s="16">
        <v>180</v>
      </c>
      <c r="G20" s="16">
        <v>150</v>
      </c>
      <c r="H20" s="16">
        <v>150</v>
      </c>
    </row>
    <row r="21" spans="1:8" ht="14">
      <c r="A21" s="3" t="s">
        <v>59</v>
      </c>
      <c r="B21" s="3" t="s">
        <v>2180</v>
      </c>
      <c r="C21" s="3" t="s">
        <v>60</v>
      </c>
      <c r="D21" s="3" t="s">
        <v>60</v>
      </c>
      <c r="E21" s="4">
        <v>91</v>
      </c>
      <c r="F21" s="16">
        <v>108</v>
      </c>
      <c r="G21" s="16">
        <v>48</v>
      </c>
      <c r="H21" s="16">
        <v>80</v>
      </c>
    </row>
    <row r="22" spans="1:8" ht="14">
      <c r="A22" s="3" t="s">
        <v>61</v>
      </c>
      <c r="B22" s="3" t="s">
        <v>2181</v>
      </c>
      <c r="C22" s="3" t="s">
        <v>62</v>
      </c>
      <c r="D22" s="3" t="s">
        <v>63</v>
      </c>
      <c r="E22" s="4">
        <v>84</v>
      </c>
      <c r="F22" s="16">
        <v>148</v>
      </c>
      <c r="G22" s="16">
        <v>48</v>
      </c>
      <c r="H22" s="16">
        <v>65</v>
      </c>
    </row>
    <row r="23" spans="1:8" ht="14">
      <c r="A23" s="3" t="s">
        <v>64</v>
      </c>
      <c r="B23" s="3" t="s">
        <v>2182</v>
      </c>
      <c r="C23" s="3" t="s">
        <v>65</v>
      </c>
      <c r="D23" s="3" t="s">
        <v>66</v>
      </c>
      <c r="E23" s="4">
        <v>91</v>
      </c>
      <c r="F23" s="16">
        <v>135</v>
      </c>
      <c r="G23" s="16">
        <v>48</v>
      </c>
      <c r="H23" s="16">
        <v>65</v>
      </c>
    </row>
    <row r="24" spans="1:8" ht="14">
      <c r="A24" s="3" t="s">
        <v>67</v>
      </c>
      <c r="B24" s="3" t="s">
        <v>2183</v>
      </c>
      <c r="C24" s="3" t="s">
        <v>68</v>
      </c>
      <c r="D24" s="3" t="s">
        <v>69</v>
      </c>
      <c r="E24" s="4">
        <v>90</v>
      </c>
      <c r="F24" s="16">
        <v>135</v>
      </c>
      <c r="G24" s="16">
        <v>48</v>
      </c>
      <c r="H24" s="16">
        <v>65</v>
      </c>
    </row>
    <row r="25" spans="1:8" ht="14">
      <c r="A25" s="3" t="s">
        <v>70</v>
      </c>
      <c r="B25" s="3" t="s">
        <v>2184</v>
      </c>
      <c r="C25" s="3" t="s">
        <v>71</v>
      </c>
      <c r="D25" s="3" t="s">
        <v>72</v>
      </c>
      <c r="E25" s="4">
        <v>19</v>
      </c>
      <c r="F25" s="16">
        <v>25</v>
      </c>
      <c r="G25" s="16">
        <v>15</v>
      </c>
      <c r="H25" s="16">
        <v>15</v>
      </c>
    </row>
    <row r="26" spans="1:8" ht="14">
      <c r="A26" s="3" t="s">
        <v>73</v>
      </c>
      <c r="B26" s="3" t="s">
        <v>2185</v>
      </c>
      <c r="C26" s="3" t="s">
        <v>74</v>
      </c>
      <c r="D26" s="3" t="s">
        <v>75</v>
      </c>
      <c r="E26" s="4">
        <v>33</v>
      </c>
      <c r="F26" s="16">
        <v>28</v>
      </c>
      <c r="G26" s="16">
        <v>23</v>
      </c>
      <c r="H26" s="16">
        <v>19</v>
      </c>
    </row>
    <row r="27" spans="1:8" ht="14">
      <c r="A27" s="3" t="s">
        <v>76</v>
      </c>
      <c r="B27" s="3" t="s">
        <v>2186</v>
      </c>
      <c r="C27" s="3" t="s">
        <v>77</v>
      </c>
      <c r="D27" s="3" t="s">
        <v>78</v>
      </c>
      <c r="E27" s="4">
        <v>640</v>
      </c>
      <c r="F27" s="16">
        <v>743</v>
      </c>
      <c r="G27" s="16">
        <v>571</v>
      </c>
      <c r="H27" s="16">
        <v>650</v>
      </c>
    </row>
    <row r="28" spans="1:8" ht="14">
      <c r="A28" s="3" t="s">
        <v>79</v>
      </c>
      <c r="B28" s="3" t="s">
        <v>2187</v>
      </c>
      <c r="C28" s="3" t="s">
        <v>80</v>
      </c>
      <c r="D28" s="3" t="s">
        <v>81</v>
      </c>
      <c r="E28" s="4">
        <v>722</v>
      </c>
      <c r="F28" s="16">
        <v>850</v>
      </c>
      <c r="G28" s="16">
        <v>668</v>
      </c>
      <c r="H28" s="16">
        <v>550</v>
      </c>
    </row>
    <row r="29" spans="1:8" ht="14">
      <c r="A29" s="3" t="s">
        <v>82</v>
      </c>
      <c r="B29" s="3" t="s">
        <v>2188</v>
      </c>
      <c r="C29" s="3" t="s">
        <v>83</v>
      </c>
      <c r="D29" s="3" t="s">
        <v>84</v>
      </c>
      <c r="E29" s="4">
        <v>882</v>
      </c>
      <c r="F29" s="16">
        <v>1100</v>
      </c>
      <c r="G29" s="16">
        <v>653</v>
      </c>
      <c r="H29" s="16">
        <v>940</v>
      </c>
    </row>
    <row r="30" spans="1:8" ht="14">
      <c r="A30" s="3" t="s">
        <v>85</v>
      </c>
      <c r="B30" s="3" t="s">
        <v>2189</v>
      </c>
      <c r="C30" s="3" t="s">
        <v>86</v>
      </c>
      <c r="D30" s="3" t="s">
        <v>87</v>
      </c>
      <c r="E30" s="4">
        <v>274</v>
      </c>
      <c r="F30" s="16">
        <v>270</v>
      </c>
      <c r="G30" s="16">
        <v>168</v>
      </c>
      <c r="H30" s="16">
        <v>190</v>
      </c>
    </row>
    <row r="31" spans="1:8" ht="14">
      <c r="A31" s="3" t="s">
        <v>88</v>
      </c>
      <c r="B31" s="3" t="s">
        <v>2190</v>
      </c>
      <c r="C31" s="3" t="s">
        <v>89</v>
      </c>
      <c r="D31" s="3" t="s">
        <v>90</v>
      </c>
      <c r="E31" s="4">
        <v>665</v>
      </c>
      <c r="F31" s="16">
        <v>885</v>
      </c>
      <c r="G31" s="16">
        <v>556</v>
      </c>
      <c r="H31" s="16">
        <v>805</v>
      </c>
    </row>
    <row r="32" spans="1:8" ht="14">
      <c r="A32" s="3" t="s">
        <v>91</v>
      </c>
      <c r="B32" s="3" t="s">
        <v>2191</v>
      </c>
      <c r="C32" s="3" t="s">
        <v>92</v>
      </c>
      <c r="D32" s="3" t="s">
        <v>93</v>
      </c>
      <c r="E32" s="4">
        <v>694</v>
      </c>
      <c r="F32" s="16">
        <v>1300</v>
      </c>
      <c r="G32" s="16">
        <v>685</v>
      </c>
      <c r="H32" s="16">
        <v>800</v>
      </c>
    </row>
    <row r="33" spans="1:8" ht="14">
      <c r="A33" s="3" t="s">
        <v>94</v>
      </c>
      <c r="B33" s="3" t="s">
        <v>2192</v>
      </c>
      <c r="C33" s="3" t="s">
        <v>92</v>
      </c>
      <c r="D33" s="3" t="s">
        <v>93</v>
      </c>
      <c r="E33" s="4">
        <v>694</v>
      </c>
      <c r="F33" s="16">
        <v>1300</v>
      </c>
      <c r="G33" s="16">
        <v>685</v>
      </c>
      <c r="H33" s="16">
        <v>800</v>
      </c>
    </row>
    <row r="34" spans="1:8" ht="14">
      <c r="A34" s="3" t="s">
        <v>95</v>
      </c>
      <c r="B34" s="3" t="s">
        <v>2193</v>
      </c>
      <c r="C34" s="3" t="s">
        <v>96</v>
      </c>
      <c r="D34" s="3" t="s">
        <v>97</v>
      </c>
      <c r="E34" s="4">
        <v>872</v>
      </c>
      <c r="F34" s="16">
        <f>920*2</f>
        <v>1840</v>
      </c>
      <c r="G34" s="16">
        <v>728</v>
      </c>
      <c r="H34" s="16">
        <f>880*2</f>
        <v>1760</v>
      </c>
    </row>
    <row r="35" spans="1:8" ht="14">
      <c r="A35" s="3" t="s">
        <v>98</v>
      </c>
      <c r="B35" s="3" t="s">
        <v>2194</v>
      </c>
      <c r="C35" s="3" t="s">
        <v>99</v>
      </c>
      <c r="D35" s="3" t="s">
        <v>100</v>
      </c>
      <c r="E35" s="4">
        <v>1530</v>
      </c>
      <c r="F35" s="16">
        <v>1530</v>
      </c>
      <c r="G35" s="16">
        <v>1250</v>
      </c>
      <c r="H35" s="16">
        <v>790</v>
      </c>
    </row>
    <row r="36" spans="1:8" ht="14">
      <c r="A36" s="3" t="s">
        <v>101</v>
      </c>
      <c r="B36" s="3" t="s">
        <v>2195</v>
      </c>
      <c r="C36" s="3" t="s">
        <v>102</v>
      </c>
      <c r="D36" s="3" t="s">
        <v>102</v>
      </c>
      <c r="E36" s="4">
        <v>194</v>
      </c>
      <c r="F36" s="16">
        <v>248</v>
      </c>
      <c r="G36" s="16">
        <v>96</v>
      </c>
      <c r="H36" s="16">
        <v>140</v>
      </c>
    </row>
    <row r="37" spans="1:8" ht="14">
      <c r="A37" s="3" t="s">
        <v>103</v>
      </c>
      <c r="B37" s="3" t="s">
        <v>2196</v>
      </c>
      <c r="C37" s="3" t="s">
        <v>104</v>
      </c>
      <c r="D37" s="3" t="s">
        <v>104</v>
      </c>
      <c r="E37" s="4">
        <v>182</v>
      </c>
      <c r="F37" s="16">
        <v>200</v>
      </c>
      <c r="G37" s="16">
        <v>72</v>
      </c>
      <c r="H37" s="16">
        <v>100</v>
      </c>
    </row>
    <row r="38" spans="1:8" ht="14">
      <c r="A38" s="3" t="s">
        <v>105</v>
      </c>
      <c r="B38" s="3" t="s">
        <v>2197</v>
      </c>
      <c r="C38" s="3" t="s">
        <v>106</v>
      </c>
      <c r="D38" s="3" t="s">
        <v>107</v>
      </c>
      <c r="E38" s="4">
        <v>210</v>
      </c>
      <c r="F38" s="16">
        <v>250</v>
      </c>
      <c r="G38" s="16">
        <v>179</v>
      </c>
      <c r="H38" s="16">
        <v>205</v>
      </c>
    </row>
    <row r="39" spans="1:8" ht="14">
      <c r="A39" s="3" t="s">
        <v>108</v>
      </c>
      <c r="B39" s="3" t="s">
        <v>2198</v>
      </c>
      <c r="C39" s="3" t="s">
        <v>109</v>
      </c>
      <c r="D39" s="3" t="s">
        <v>110</v>
      </c>
      <c r="E39" s="4">
        <v>330</v>
      </c>
      <c r="F39" s="16">
        <v>420</v>
      </c>
      <c r="G39" s="16">
        <v>299</v>
      </c>
      <c r="H39" s="16">
        <v>405</v>
      </c>
    </row>
    <row r="40" spans="1:8" ht="14">
      <c r="A40" s="3" t="s">
        <v>111</v>
      </c>
      <c r="B40" s="3" t="s">
        <v>2199</v>
      </c>
      <c r="C40" s="3" t="s">
        <v>112</v>
      </c>
      <c r="D40" s="3" t="s">
        <v>112</v>
      </c>
      <c r="E40" s="4">
        <v>285</v>
      </c>
      <c r="F40" s="16">
        <v>305</v>
      </c>
      <c r="G40" s="16">
        <v>270</v>
      </c>
      <c r="H40" s="16">
        <v>220</v>
      </c>
    </row>
    <row r="41" spans="1:8" ht="14">
      <c r="A41" s="3" t="s">
        <v>113</v>
      </c>
      <c r="B41" s="3" t="s">
        <v>2200</v>
      </c>
      <c r="C41" s="3" t="s">
        <v>114</v>
      </c>
      <c r="D41" s="3" t="s">
        <v>115</v>
      </c>
      <c r="E41" s="4">
        <v>1470</v>
      </c>
      <c r="F41" s="16">
        <v>1245</v>
      </c>
      <c r="G41" s="16">
        <v>1385</v>
      </c>
      <c r="H41" s="16">
        <v>1400</v>
      </c>
    </row>
    <row r="42" spans="1:8" ht="14">
      <c r="A42" s="3" t="s">
        <v>116</v>
      </c>
      <c r="B42" s="3" t="s">
        <v>2201</v>
      </c>
      <c r="C42" s="3" t="s">
        <v>117</v>
      </c>
      <c r="D42" s="3" t="s">
        <v>117</v>
      </c>
      <c r="E42" s="4">
        <v>189</v>
      </c>
      <c r="F42" s="16">
        <v>236</v>
      </c>
      <c r="G42" s="16">
        <v>113</v>
      </c>
      <c r="H42" s="16">
        <v>147</v>
      </c>
    </row>
    <row r="43" spans="1:8" ht="14">
      <c r="A43" s="3" t="s">
        <v>118</v>
      </c>
      <c r="B43" s="3" t="s">
        <v>2202</v>
      </c>
      <c r="C43" s="3" t="s">
        <v>2582</v>
      </c>
      <c r="D43" s="3" t="s">
        <v>119</v>
      </c>
      <c r="E43" s="4">
        <v>26</v>
      </c>
      <c r="F43" s="16">
        <v>35</v>
      </c>
      <c r="G43" s="16">
        <v>12</v>
      </c>
      <c r="H43" s="16">
        <v>20</v>
      </c>
    </row>
    <row r="44" spans="1:8" ht="14">
      <c r="A44" s="3" t="s">
        <v>120</v>
      </c>
      <c r="B44" s="3" t="s">
        <v>2203</v>
      </c>
      <c r="C44" s="3" t="s">
        <v>121</v>
      </c>
      <c r="D44" s="3" t="s">
        <v>122</v>
      </c>
      <c r="E44" s="4">
        <v>175</v>
      </c>
      <c r="F44" s="16">
        <v>150</v>
      </c>
      <c r="G44" s="16">
        <v>152</v>
      </c>
      <c r="H44" s="16">
        <v>100</v>
      </c>
    </row>
    <row r="45" spans="1:8" ht="14">
      <c r="A45" s="3" t="s">
        <v>123</v>
      </c>
      <c r="B45" s="3" t="s">
        <v>2204</v>
      </c>
      <c r="C45" s="3" t="s">
        <v>124</v>
      </c>
      <c r="D45" s="3" t="s">
        <v>125</v>
      </c>
      <c r="E45" s="4">
        <v>210</v>
      </c>
      <c r="F45" s="16">
        <v>228</v>
      </c>
      <c r="G45" s="16">
        <v>161</v>
      </c>
      <c r="H45" s="16">
        <v>148</v>
      </c>
    </row>
    <row r="46" spans="1:8" ht="14">
      <c r="A46" s="3" t="s">
        <v>126</v>
      </c>
      <c r="B46" s="3" t="s">
        <v>2205</v>
      </c>
      <c r="C46" s="3" t="s">
        <v>124</v>
      </c>
      <c r="D46" s="3" t="s">
        <v>125</v>
      </c>
      <c r="E46" s="4">
        <v>210</v>
      </c>
      <c r="F46" s="16">
        <v>228</v>
      </c>
      <c r="G46" s="16">
        <v>161</v>
      </c>
      <c r="H46" s="16">
        <v>148</v>
      </c>
    </row>
    <row r="47" spans="1:8" ht="14">
      <c r="A47" s="3" t="s">
        <v>127</v>
      </c>
      <c r="B47" s="3" t="s">
        <v>2206</v>
      </c>
      <c r="C47" s="3" t="s">
        <v>128</v>
      </c>
      <c r="D47" s="3" t="s">
        <v>129</v>
      </c>
      <c r="E47" s="4">
        <v>504</v>
      </c>
      <c r="F47" s="16">
        <v>560</v>
      </c>
      <c r="G47" s="16">
        <v>421</v>
      </c>
      <c r="H47" s="16">
        <v>425</v>
      </c>
    </row>
    <row r="48" spans="1:8" ht="14">
      <c r="A48" s="3" t="s">
        <v>130</v>
      </c>
      <c r="B48" s="3" t="s">
        <v>2207</v>
      </c>
      <c r="C48" s="3" t="s">
        <v>131</v>
      </c>
      <c r="D48" s="3" t="s">
        <v>131</v>
      </c>
      <c r="E48" s="4">
        <v>358</v>
      </c>
      <c r="F48" s="16">
        <v>355</v>
      </c>
      <c r="G48" s="16">
        <v>298</v>
      </c>
      <c r="H48" s="16">
        <v>290</v>
      </c>
    </row>
    <row r="49" spans="1:8" ht="14">
      <c r="A49" s="3" t="s">
        <v>132</v>
      </c>
      <c r="B49" s="3" t="s">
        <v>2208</v>
      </c>
      <c r="C49" s="3" t="s">
        <v>133</v>
      </c>
      <c r="D49" s="3" t="s">
        <v>133</v>
      </c>
      <c r="E49" s="4">
        <v>329</v>
      </c>
      <c r="F49" s="16">
        <v>340</v>
      </c>
      <c r="G49" s="16">
        <v>243</v>
      </c>
      <c r="H49" s="16">
        <v>175</v>
      </c>
    </row>
    <row r="50" spans="1:8" ht="14">
      <c r="A50" s="3" t="s">
        <v>134</v>
      </c>
      <c r="B50" s="3" t="s">
        <v>2209</v>
      </c>
      <c r="C50" s="3" t="s">
        <v>135</v>
      </c>
      <c r="D50" s="3" t="s">
        <v>135</v>
      </c>
      <c r="E50" s="4">
        <v>196</v>
      </c>
      <c r="F50" s="16">
        <v>260</v>
      </c>
      <c r="G50" s="16">
        <v>166</v>
      </c>
      <c r="H50" s="16">
        <v>175</v>
      </c>
    </row>
    <row r="51" spans="1:8" ht="14">
      <c r="A51" s="3" t="s">
        <v>136</v>
      </c>
      <c r="B51" s="3" t="s">
        <v>2210</v>
      </c>
      <c r="C51" s="3" t="s">
        <v>137</v>
      </c>
      <c r="D51" s="3" t="s">
        <v>138</v>
      </c>
      <c r="E51" s="4">
        <v>440</v>
      </c>
      <c r="F51" s="16">
        <v>660</v>
      </c>
      <c r="G51" s="16">
        <v>430</v>
      </c>
      <c r="H51" s="16">
        <v>215</v>
      </c>
    </row>
    <row r="52" spans="1:8" ht="14">
      <c r="A52" s="3" t="s">
        <v>139</v>
      </c>
      <c r="B52" s="3" t="s">
        <v>2211</v>
      </c>
      <c r="C52" s="3" t="s">
        <v>140</v>
      </c>
      <c r="D52" s="3" t="s">
        <v>140</v>
      </c>
      <c r="E52" s="4">
        <v>157</v>
      </c>
      <c r="F52" s="16">
        <v>245</v>
      </c>
      <c r="G52" s="16">
        <v>132</v>
      </c>
      <c r="H52" s="16">
        <v>100</v>
      </c>
    </row>
    <row r="53" spans="1:8" ht="14">
      <c r="A53" s="3" t="s">
        <v>141</v>
      </c>
      <c r="B53" s="3" t="s">
        <v>2212</v>
      </c>
      <c r="C53" s="3" t="s">
        <v>142</v>
      </c>
      <c r="D53" s="3" t="s">
        <v>142</v>
      </c>
      <c r="E53" s="4">
        <v>248</v>
      </c>
      <c r="F53" s="16">
        <v>280</v>
      </c>
      <c r="G53" s="16">
        <v>165</v>
      </c>
      <c r="H53" s="16">
        <v>160</v>
      </c>
    </row>
    <row r="54" spans="1:8" ht="14">
      <c r="A54" s="3" t="s">
        <v>143</v>
      </c>
      <c r="B54" s="3" t="s">
        <v>2213</v>
      </c>
      <c r="C54" s="3" t="s">
        <v>144</v>
      </c>
      <c r="D54" s="3" t="s">
        <v>145</v>
      </c>
      <c r="E54" s="4">
        <v>287</v>
      </c>
      <c r="F54" s="16">
        <v>450</v>
      </c>
      <c r="G54" s="16">
        <v>189</v>
      </c>
      <c r="H54" s="16">
        <v>280</v>
      </c>
    </row>
    <row r="55" spans="1:8" ht="14">
      <c r="A55" s="3" t="s">
        <v>146</v>
      </c>
      <c r="B55" s="3" t="s">
        <v>2214</v>
      </c>
      <c r="C55" s="3" t="s">
        <v>144</v>
      </c>
      <c r="D55" s="3" t="s">
        <v>145</v>
      </c>
      <c r="E55" s="4">
        <v>287</v>
      </c>
      <c r="F55" s="16">
        <v>450</v>
      </c>
      <c r="G55" s="16">
        <v>189</v>
      </c>
      <c r="H55" s="16">
        <v>280</v>
      </c>
    </row>
    <row r="56" spans="1:8" ht="14">
      <c r="A56" s="3" t="s">
        <v>147</v>
      </c>
      <c r="B56" s="3" t="s">
        <v>2215</v>
      </c>
      <c r="C56" s="3" t="s">
        <v>148</v>
      </c>
      <c r="D56" s="3" t="s">
        <v>149</v>
      </c>
      <c r="E56" s="4">
        <v>177</v>
      </c>
      <c r="F56" s="16">
        <v>275</v>
      </c>
      <c r="G56" s="16">
        <v>131</v>
      </c>
      <c r="H56" s="16">
        <v>100</v>
      </c>
    </row>
    <row r="57" spans="1:8" ht="14">
      <c r="A57" s="3" t="s">
        <v>150</v>
      </c>
      <c r="B57" s="3" t="s">
        <v>2216</v>
      </c>
      <c r="C57" s="3" t="s">
        <v>151</v>
      </c>
      <c r="D57" s="3" t="s">
        <v>151</v>
      </c>
      <c r="E57" s="4">
        <v>336</v>
      </c>
      <c r="F57" s="16">
        <v>504</v>
      </c>
      <c r="G57" s="16">
        <v>283</v>
      </c>
      <c r="H57" s="16">
        <v>350</v>
      </c>
    </row>
    <row r="58" spans="1:8" ht="14">
      <c r="A58" s="3" t="s">
        <v>152</v>
      </c>
      <c r="B58" s="3" t="s">
        <v>2217</v>
      </c>
      <c r="C58" s="3" t="s">
        <v>153</v>
      </c>
      <c r="D58" s="3" t="s">
        <v>154</v>
      </c>
      <c r="E58" s="4">
        <v>474</v>
      </c>
      <c r="F58" s="16">
        <v>500</v>
      </c>
      <c r="G58" s="16">
        <v>373</v>
      </c>
      <c r="H58" s="16">
        <v>430</v>
      </c>
    </row>
    <row r="59" spans="1:8" ht="14">
      <c r="A59" s="3" t="s">
        <v>155</v>
      </c>
      <c r="B59" s="3" t="s">
        <v>2218</v>
      </c>
      <c r="C59" s="3" t="s">
        <v>156</v>
      </c>
      <c r="D59" s="3" t="s">
        <v>157</v>
      </c>
      <c r="E59" s="4">
        <v>593</v>
      </c>
      <c r="F59" s="16">
        <v>700</v>
      </c>
      <c r="G59" s="16">
        <v>494</v>
      </c>
      <c r="H59" s="16">
        <v>550</v>
      </c>
    </row>
    <row r="60" spans="1:8" ht="14">
      <c r="A60" s="3" t="s">
        <v>158</v>
      </c>
      <c r="B60" s="3" t="s">
        <v>2219</v>
      </c>
      <c r="C60" s="3" t="s">
        <v>159</v>
      </c>
      <c r="D60" s="3" t="s">
        <v>160</v>
      </c>
      <c r="E60" s="4">
        <v>385</v>
      </c>
      <c r="F60" s="16">
        <v>380</v>
      </c>
      <c r="G60" s="16">
        <v>365</v>
      </c>
      <c r="H60" s="16">
        <v>320</v>
      </c>
    </row>
    <row r="61" spans="1:8" ht="14">
      <c r="A61" s="3" t="s">
        <v>161</v>
      </c>
      <c r="B61" s="3" t="s">
        <v>2220</v>
      </c>
      <c r="C61" s="3" t="s">
        <v>162</v>
      </c>
      <c r="D61" s="3" t="s">
        <v>163</v>
      </c>
      <c r="E61" s="4">
        <v>260</v>
      </c>
      <c r="F61" s="16">
        <v>390</v>
      </c>
      <c r="G61" s="16">
        <v>210</v>
      </c>
      <c r="H61" s="16">
        <v>105</v>
      </c>
    </row>
    <row r="62" spans="1:8" ht="14">
      <c r="A62" s="3" t="s">
        <v>164</v>
      </c>
      <c r="B62" s="3" t="s">
        <v>2221</v>
      </c>
      <c r="C62" s="3" t="s">
        <v>165</v>
      </c>
      <c r="D62" s="3" t="s">
        <v>166</v>
      </c>
      <c r="E62" s="4">
        <v>135</v>
      </c>
      <c r="F62" s="16">
        <v>200</v>
      </c>
      <c r="G62" s="16">
        <v>105</v>
      </c>
      <c r="H62" s="16">
        <v>100</v>
      </c>
    </row>
    <row r="63" spans="1:8" ht="14">
      <c r="A63" s="3" t="s">
        <v>167</v>
      </c>
      <c r="B63" s="3" t="s">
        <v>2222</v>
      </c>
      <c r="C63" s="3" t="s">
        <v>168</v>
      </c>
      <c r="D63" s="3" t="s">
        <v>169</v>
      </c>
      <c r="E63" s="4">
        <v>154</v>
      </c>
      <c r="F63" s="16">
        <v>231</v>
      </c>
      <c r="G63" s="16">
        <v>78</v>
      </c>
      <c r="H63" s="16">
        <v>100</v>
      </c>
    </row>
    <row r="64" spans="1:8" ht="14">
      <c r="A64" s="3" t="s">
        <v>170</v>
      </c>
      <c r="B64" s="3" t="s">
        <v>2223</v>
      </c>
      <c r="C64" s="3" t="s">
        <v>171</v>
      </c>
      <c r="D64" s="3" t="s">
        <v>172</v>
      </c>
      <c r="E64" s="4">
        <v>196</v>
      </c>
      <c r="F64" s="16">
        <v>150</v>
      </c>
      <c r="G64" s="16">
        <v>80</v>
      </c>
      <c r="H64" s="16">
        <v>90</v>
      </c>
    </row>
    <row r="65" spans="1:8" ht="14">
      <c r="A65" s="3" t="s">
        <v>173</v>
      </c>
      <c r="B65" s="3" t="s">
        <v>2224</v>
      </c>
      <c r="C65" s="3" t="s">
        <v>174</v>
      </c>
      <c r="D65" s="3" t="s">
        <v>175</v>
      </c>
      <c r="E65" s="4">
        <v>224</v>
      </c>
      <c r="F65" s="16">
        <v>300</v>
      </c>
      <c r="G65" s="16">
        <v>140</v>
      </c>
      <c r="H65" s="16">
        <v>170</v>
      </c>
    </row>
    <row r="66" spans="1:8" ht="14">
      <c r="A66" s="3" t="s">
        <v>176</v>
      </c>
      <c r="B66" s="3" t="s">
        <v>2225</v>
      </c>
      <c r="C66" s="3" t="s">
        <v>177</v>
      </c>
      <c r="D66" s="3" t="s">
        <v>178</v>
      </c>
      <c r="E66" s="4">
        <v>173</v>
      </c>
      <c r="F66" s="16">
        <v>260</v>
      </c>
      <c r="G66" s="16">
        <v>78</v>
      </c>
      <c r="H66" s="16">
        <v>100</v>
      </c>
    </row>
    <row r="67" spans="1:8" ht="14">
      <c r="A67" s="3" t="s">
        <v>179</v>
      </c>
      <c r="B67" s="3" t="s">
        <v>2226</v>
      </c>
      <c r="C67" s="3" t="s">
        <v>180</v>
      </c>
      <c r="D67" s="3" t="s">
        <v>181</v>
      </c>
      <c r="E67" s="4">
        <v>130</v>
      </c>
      <c r="F67" s="16">
        <v>195</v>
      </c>
      <c r="G67" s="16">
        <v>73</v>
      </c>
      <c r="H67" s="16">
        <v>100</v>
      </c>
    </row>
    <row r="68" spans="1:8" ht="14">
      <c r="A68" s="3" t="s">
        <v>182</v>
      </c>
      <c r="B68" s="3" t="s">
        <v>2227</v>
      </c>
      <c r="C68" s="3" t="s">
        <v>183</v>
      </c>
      <c r="D68" s="3" t="s">
        <v>184</v>
      </c>
      <c r="E68" s="4">
        <v>198</v>
      </c>
      <c r="F68" s="16">
        <v>297</v>
      </c>
      <c r="G68" s="16">
        <v>171</v>
      </c>
      <c r="H68" s="16">
        <v>160</v>
      </c>
    </row>
    <row r="69" spans="1:8" ht="14">
      <c r="A69" s="3" t="s">
        <v>185</v>
      </c>
      <c r="B69" s="3" t="s">
        <v>2228</v>
      </c>
      <c r="C69" s="3" t="s">
        <v>186</v>
      </c>
      <c r="D69" s="3" t="s">
        <v>187</v>
      </c>
      <c r="E69" s="4">
        <v>202</v>
      </c>
      <c r="F69" s="16">
        <v>303</v>
      </c>
      <c r="G69" s="16">
        <v>170</v>
      </c>
      <c r="H69" s="16">
        <v>150</v>
      </c>
    </row>
    <row r="70" spans="1:8" ht="14">
      <c r="A70" s="3" t="s">
        <v>188</v>
      </c>
      <c r="B70" s="3" t="s">
        <v>2229</v>
      </c>
      <c r="C70" s="3" t="s">
        <v>189</v>
      </c>
      <c r="D70" s="3" t="s">
        <v>190</v>
      </c>
      <c r="E70" s="4">
        <v>217</v>
      </c>
      <c r="F70" s="16">
        <v>300</v>
      </c>
      <c r="G70" s="16">
        <v>196</v>
      </c>
      <c r="H70" s="16">
        <v>230</v>
      </c>
    </row>
    <row r="71" spans="1:8" ht="14">
      <c r="A71" s="3" t="s">
        <v>191</v>
      </c>
      <c r="B71" s="3" t="s">
        <v>2230</v>
      </c>
      <c r="C71" s="3" t="s">
        <v>192</v>
      </c>
      <c r="D71" s="3" t="s">
        <v>192</v>
      </c>
      <c r="E71" s="4">
        <v>125</v>
      </c>
      <c r="F71" s="16">
        <v>180</v>
      </c>
      <c r="G71" s="16">
        <v>83</v>
      </c>
      <c r="H71" s="16">
        <v>100</v>
      </c>
    </row>
    <row r="72" spans="1:8" ht="14">
      <c r="A72" s="3" t="s">
        <v>193</v>
      </c>
      <c r="B72" s="3" t="s">
        <v>2231</v>
      </c>
      <c r="C72" s="3" t="s">
        <v>194</v>
      </c>
      <c r="D72" s="3" t="s">
        <v>195</v>
      </c>
      <c r="E72" s="4">
        <v>749</v>
      </c>
      <c r="F72" s="16">
        <v>900</v>
      </c>
      <c r="G72" s="16">
        <v>561</v>
      </c>
      <c r="H72" s="16">
        <v>700</v>
      </c>
    </row>
    <row r="73" spans="1:8" ht="14">
      <c r="A73" s="3" t="s">
        <v>196</v>
      </c>
      <c r="B73" s="3" t="s">
        <v>2232</v>
      </c>
      <c r="C73" s="3" t="s">
        <v>197</v>
      </c>
      <c r="D73" s="3" t="s">
        <v>197</v>
      </c>
      <c r="E73" s="4">
        <v>96</v>
      </c>
      <c r="F73" s="16">
        <v>144</v>
      </c>
      <c r="G73" s="16">
        <v>94</v>
      </c>
      <c r="H73" s="16">
        <v>90</v>
      </c>
    </row>
    <row r="74" spans="1:8" ht="14">
      <c r="A74" s="3" t="s">
        <v>198</v>
      </c>
      <c r="B74" s="3" t="s">
        <v>2233</v>
      </c>
      <c r="C74" s="3" t="s">
        <v>199</v>
      </c>
      <c r="D74" s="3" t="s">
        <v>200</v>
      </c>
      <c r="E74" s="4">
        <v>120</v>
      </c>
      <c r="F74" s="16">
        <v>180</v>
      </c>
      <c r="G74" s="16">
        <v>110</v>
      </c>
      <c r="H74" s="16">
        <v>100</v>
      </c>
    </row>
    <row r="75" spans="1:8" ht="14">
      <c r="A75" s="3" t="s">
        <v>201</v>
      </c>
      <c r="B75" s="3" t="s">
        <v>2234</v>
      </c>
      <c r="C75" s="3" t="s">
        <v>202</v>
      </c>
      <c r="D75" s="3" t="s">
        <v>203</v>
      </c>
      <c r="E75" s="4">
        <v>93</v>
      </c>
      <c r="F75" s="16">
        <v>145</v>
      </c>
      <c r="G75" s="16">
        <v>87</v>
      </c>
      <c r="H75" s="16">
        <v>100</v>
      </c>
    </row>
    <row r="76" spans="1:8" ht="14">
      <c r="A76" s="3" t="s">
        <v>204</v>
      </c>
      <c r="B76" s="3" t="s">
        <v>2235</v>
      </c>
      <c r="C76" s="3" t="s">
        <v>205</v>
      </c>
      <c r="D76" s="3" t="s">
        <v>206</v>
      </c>
      <c r="E76" s="4">
        <v>120</v>
      </c>
      <c r="F76" s="16">
        <v>180</v>
      </c>
      <c r="G76" s="16">
        <v>63</v>
      </c>
      <c r="H76" s="16">
        <v>120</v>
      </c>
    </row>
    <row r="77" spans="1:8" ht="14">
      <c r="A77" s="3" t="s">
        <v>207</v>
      </c>
      <c r="B77" s="3" t="s">
        <v>2236</v>
      </c>
      <c r="C77" s="3" t="s">
        <v>208</v>
      </c>
      <c r="D77" s="3" t="s">
        <v>209</v>
      </c>
      <c r="E77" s="4">
        <v>120</v>
      </c>
      <c r="F77" s="16">
        <v>180</v>
      </c>
      <c r="G77" s="16">
        <v>63</v>
      </c>
      <c r="H77" s="16">
        <v>120</v>
      </c>
    </row>
    <row r="78" spans="1:8" ht="14">
      <c r="A78" s="3" t="s">
        <v>210</v>
      </c>
      <c r="B78" s="3" t="s">
        <v>2237</v>
      </c>
      <c r="C78" s="3" t="s">
        <v>211</v>
      </c>
      <c r="D78" s="3" t="s">
        <v>212</v>
      </c>
      <c r="E78" s="4">
        <v>112</v>
      </c>
      <c r="F78" s="16">
        <v>245</v>
      </c>
      <c r="G78" s="16">
        <v>89</v>
      </c>
      <c r="H78" s="16">
        <v>120</v>
      </c>
    </row>
    <row r="79" spans="1:8" ht="14">
      <c r="A79" s="3" t="s">
        <v>213</v>
      </c>
      <c r="B79" s="3" t="s">
        <v>2238</v>
      </c>
      <c r="C79" s="3" t="s">
        <v>214</v>
      </c>
      <c r="D79" s="3" t="s">
        <v>215</v>
      </c>
      <c r="E79" s="4">
        <v>380</v>
      </c>
      <c r="F79" s="16">
        <v>400</v>
      </c>
      <c r="G79" s="16">
        <v>275</v>
      </c>
      <c r="H79" s="16">
        <v>275</v>
      </c>
    </row>
    <row r="80" spans="1:8" ht="14">
      <c r="A80" s="3" t="s">
        <v>216</v>
      </c>
      <c r="B80" s="3" t="s">
        <v>2239</v>
      </c>
      <c r="C80" s="3" t="s">
        <v>217</v>
      </c>
      <c r="D80" s="3" t="s">
        <v>218</v>
      </c>
      <c r="E80" s="4">
        <v>400</v>
      </c>
      <c r="F80" s="16">
        <v>600</v>
      </c>
      <c r="G80" s="16">
        <v>380</v>
      </c>
      <c r="H80" s="16">
        <v>190</v>
      </c>
    </row>
    <row r="81" spans="1:8" ht="14">
      <c r="A81" s="3" t="s">
        <v>219</v>
      </c>
      <c r="B81" s="3" t="s">
        <v>2240</v>
      </c>
      <c r="C81" s="3" t="s">
        <v>220</v>
      </c>
      <c r="D81" s="3" t="s">
        <v>221</v>
      </c>
      <c r="E81" s="4">
        <v>340</v>
      </c>
      <c r="F81" s="16">
        <v>400</v>
      </c>
      <c r="G81" s="16">
        <v>288</v>
      </c>
      <c r="H81" s="16">
        <v>300</v>
      </c>
    </row>
    <row r="82" spans="1:8" ht="14">
      <c r="A82" s="3" t="s">
        <v>222</v>
      </c>
      <c r="B82" s="3" t="s">
        <v>2241</v>
      </c>
      <c r="C82" s="3" t="s">
        <v>223</v>
      </c>
      <c r="D82" s="3" t="s">
        <v>224</v>
      </c>
      <c r="E82" s="4">
        <v>305</v>
      </c>
      <c r="F82" s="16">
        <v>457</v>
      </c>
      <c r="G82" s="16">
        <v>280</v>
      </c>
      <c r="H82" s="16">
        <v>280</v>
      </c>
    </row>
    <row r="83" spans="1:8" ht="14">
      <c r="A83" s="3" t="s">
        <v>225</v>
      </c>
      <c r="B83" s="3" t="s">
        <v>2242</v>
      </c>
      <c r="C83" s="3" t="s">
        <v>226</v>
      </c>
      <c r="D83" s="3" t="s">
        <v>227</v>
      </c>
      <c r="E83" s="4">
        <v>296</v>
      </c>
      <c r="F83" s="16">
        <v>444</v>
      </c>
      <c r="G83" s="16">
        <v>252</v>
      </c>
      <c r="H83" s="16">
        <v>280</v>
      </c>
    </row>
    <row r="84" spans="1:8" ht="14">
      <c r="A84" s="3" t="s">
        <v>228</v>
      </c>
      <c r="B84" s="3" t="s">
        <v>2243</v>
      </c>
      <c r="C84" s="3" t="s">
        <v>229</v>
      </c>
      <c r="D84" s="3" t="s">
        <v>230</v>
      </c>
      <c r="E84" s="4">
        <v>179</v>
      </c>
      <c r="F84" s="16">
        <v>230</v>
      </c>
      <c r="G84" s="16">
        <v>163</v>
      </c>
      <c r="H84" s="16">
        <v>150</v>
      </c>
    </row>
    <row r="85" spans="1:8" ht="14">
      <c r="A85" s="3" t="s">
        <v>231</v>
      </c>
      <c r="B85" s="3" t="s">
        <v>2244</v>
      </c>
      <c r="C85" s="3" t="s">
        <v>232</v>
      </c>
      <c r="D85" s="3" t="s">
        <v>233</v>
      </c>
      <c r="E85" s="4">
        <v>117</v>
      </c>
      <c r="F85" s="16">
        <v>240</v>
      </c>
      <c r="G85" s="16">
        <v>107</v>
      </c>
      <c r="H85" s="16">
        <v>90</v>
      </c>
    </row>
    <row r="86" spans="1:8" ht="14">
      <c r="A86" s="3" t="s">
        <v>234</v>
      </c>
      <c r="B86" s="3" t="s">
        <v>2245</v>
      </c>
      <c r="C86" s="3" t="s">
        <v>235</v>
      </c>
      <c r="D86" s="3" t="s">
        <v>236</v>
      </c>
      <c r="E86" s="4">
        <v>126</v>
      </c>
      <c r="F86" s="16">
        <v>189</v>
      </c>
      <c r="G86" s="16">
        <v>147</v>
      </c>
      <c r="H86" s="16">
        <v>120</v>
      </c>
    </row>
    <row r="87" spans="1:8" ht="14">
      <c r="A87" s="3" t="s">
        <v>237</v>
      </c>
      <c r="B87" s="3" t="s">
        <v>2246</v>
      </c>
      <c r="C87" s="3" t="s">
        <v>238</v>
      </c>
      <c r="D87" s="3" t="s">
        <v>239</v>
      </c>
      <c r="E87" s="4">
        <v>143</v>
      </c>
      <c r="F87" s="16">
        <v>200</v>
      </c>
      <c r="G87" s="16">
        <v>113</v>
      </c>
      <c r="H87" s="16">
        <v>130</v>
      </c>
    </row>
    <row r="88" spans="1:8" ht="14">
      <c r="A88" s="3" t="s">
        <v>240</v>
      </c>
      <c r="B88" s="3" t="s">
        <v>2247</v>
      </c>
      <c r="C88" s="3" t="s">
        <v>241</v>
      </c>
      <c r="D88" s="3" t="s">
        <v>242</v>
      </c>
      <c r="E88" s="4">
        <v>129</v>
      </c>
      <c r="F88" s="16">
        <v>200</v>
      </c>
      <c r="G88" s="16">
        <v>110</v>
      </c>
      <c r="H88" s="16">
        <v>100</v>
      </c>
    </row>
    <row r="89" spans="1:8" ht="14">
      <c r="A89" s="3" t="s">
        <v>243</v>
      </c>
      <c r="B89" s="3" t="s">
        <v>2248</v>
      </c>
      <c r="C89" s="3" t="s">
        <v>244</v>
      </c>
      <c r="D89" s="3" t="s">
        <v>245</v>
      </c>
      <c r="E89" s="4">
        <v>173</v>
      </c>
      <c r="F89" s="16">
        <v>218</v>
      </c>
      <c r="G89" s="16">
        <v>159</v>
      </c>
      <c r="H89" s="16">
        <v>130</v>
      </c>
    </row>
    <row r="90" spans="1:8" ht="14">
      <c r="A90" s="3" t="s">
        <v>246</v>
      </c>
      <c r="B90" s="3" t="s">
        <v>2249</v>
      </c>
      <c r="C90" s="3" t="s">
        <v>247</v>
      </c>
      <c r="D90" s="3" t="s">
        <v>248</v>
      </c>
      <c r="E90" s="4">
        <v>126</v>
      </c>
      <c r="F90" s="16">
        <v>200</v>
      </c>
      <c r="G90" s="16">
        <v>104</v>
      </c>
      <c r="H90" s="16">
        <v>80</v>
      </c>
    </row>
    <row r="91" spans="1:8" ht="14">
      <c r="A91" s="3" t="s">
        <v>249</v>
      </c>
      <c r="B91" s="3" t="s">
        <v>2250</v>
      </c>
      <c r="C91" s="3" t="s">
        <v>250</v>
      </c>
      <c r="D91" s="3" t="s">
        <v>251</v>
      </c>
      <c r="E91" s="4">
        <v>134</v>
      </c>
      <c r="F91" s="16">
        <v>180</v>
      </c>
      <c r="G91" s="16">
        <v>73</v>
      </c>
      <c r="H91" s="16">
        <v>100</v>
      </c>
    </row>
    <row r="92" spans="1:8" ht="14">
      <c r="A92" s="3" t="s">
        <v>252</v>
      </c>
      <c r="B92" s="3" t="s">
        <v>2251</v>
      </c>
      <c r="C92" s="3" t="s">
        <v>253</v>
      </c>
      <c r="D92" s="3" t="s">
        <v>254</v>
      </c>
      <c r="E92" s="4">
        <v>60</v>
      </c>
      <c r="F92" s="16">
        <v>90</v>
      </c>
      <c r="G92" s="16">
        <v>58</v>
      </c>
      <c r="H92" s="16">
        <v>40</v>
      </c>
    </row>
    <row r="93" spans="1:8" ht="14">
      <c r="A93" s="3" t="s">
        <v>255</v>
      </c>
      <c r="B93" s="3" t="s">
        <v>2252</v>
      </c>
      <c r="C93" s="3" t="s">
        <v>256</v>
      </c>
      <c r="D93" s="3" t="s">
        <v>257</v>
      </c>
      <c r="E93" s="4">
        <v>77</v>
      </c>
      <c r="F93" s="16">
        <v>118</v>
      </c>
      <c r="G93" s="16">
        <v>57</v>
      </c>
      <c r="H93" s="16">
        <v>65</v>
      </c>
    </row>
    <row r="94" spans="1:8" ht="14">
      <c r="A94" s="3" t="s">
        <v>258</v>
      </c>
      <c r="B94" s="3" t="s">
        <v>2253</v>
      </c>
      <c r="C94" s="3" t="s">
        <v>259</v>
      </c>
      <c r="D94" s="3" t="s">
        <v>260</v>
      </c>
      <c r="E94" s="4">
        <v>359</v>
      </c>
      <c r="F94" s="16">
        <v>450</v>
      </c>
      <c r="G94" s="16">
        <v>334</v>
      </c>
      <c r="H94" s="16">
        <v>300</v>
      </c>
    </row>
    <row r="95" spans="1:8" ht="14">
      <c r="A95" s="3" t="s">
        <v>261</v>
      </c>
      <c r="B95" s="3" t="s">
        <v>2254</v>
      </c>
      <c r="C95" s="3" t="s">
        <v>262</v>
      </c>
      <c r="D95" s="3" t="s">
        <v>263</v>
      </c>
      <c r="E95" s="4">
        <v>168</v>
      </c>
      <c r="F95" s="16">
        <v>200</v>
      </c>
      <c r="G95" s="16">
        <v>125</v>
      </c>
      <c r="H95" s="16">
        <v>120</v>
      </c>
    </row>
    <row r="96" spans="1:8" ht="14">
      <c r="A96" s="3" t="s">
        <v>264</v>
      </c>
      <c r="B96" s="3" t="s">
        <v>2255</v>
      </c>
      <c r="C96" s="3" t="s">
        <v>265</v>
      </c>
      <c r="D96" s="3" t="s">
        <v>266</v>
      </c>
      <c r="E96" s="4">
        <v>126</v>
      </c>
      <c r="F96" s="16">
        <v>189</v>
      </c>
      <c r="G96" s="16">
        <v>92</v>
      </c>
      <c r="H96" s="16">
        <v>100</v>
      </c>
    </row>
    <row r="97" spans="1:8" ht="14">
      <c r="A97" s="3" t="s">
        <v>267</v>
      </c>
      <c r="B97" s="3" t="s">
        <v>2256</v>
      </c>
      <c r="C97" s="3" t="s">
        <v>268</v>
      </c>
      <c r="D97" s="3" t="s">
        <v>268</v>
      </c>
      <c r="E97" s="4">
        <v>243</v>
      </c>
      <c r="F97" s="16">
        <v>380</v>
      </c>
      <c r="G97" s="16">
        <v>188</v>
      </c>
      <c r="H97" s="16">
        <v>250</v>
      </c>
    </row>
    <row r="98" spans="1:8" ht="14">
      <c r="A98" s="3" t="s">
        <v>269</v>
      </c>
      <c r="B98" s="3" t="s">
        <v>2257</v>
      </c>
      <c r="C98" s="3" t="s">
        <v>270</v>
      </c>
      <c r="D98" s="3" t="s">
        <v>271</v>
      </c>
      <c r="E98" s="4">
        <v>122</v>
      </c>
      <c r="F98" s="16">
        <v>175</v>
      </c>
      <c r="G98" s="16">
        <v>85</v>
      </c>
      <c r="H98" s="16">
        <v>120</v>
      </c>
    </row>
    <row r="99" spans="1:8" ht="14">
      <c r="A99" s="3" t="s">
        <v>272</v>
      </c>
      <c r="B99" s="3" t="s">
        <v>2258</v>
      </c>
      <c r="C99" s="3" t="s">
        <v>273</v>
      </c>
      <c r="D99" s="3" t="s">
        <v>274</v>
      </c>
      <c r="E99" s="4">
        <v>166</v>
      </c>
      <c r="F99" s="16">
        <v>250</v>
      </c>
      <c r="G99" s="16">
        <v>140</v>
      </c>
      <c r="H99" s="16">
        <v>120</v>
      </c>
    </row>
    <row r="100" spans="1:8" ht="14">
      <c r="A100" s="3" t="s">
        <v>275</v>
      </c>
      <c r="B100" s="3" t="s">
        <v>2259</v>
      </c>
      <c r="C100" s="3" t="s">
        <v>276</v>
      </c>
      <c r="D100" s="3" t="s">
        <v>277</v>
      </c>
      <c r="E100" s="4">
        <v>166</v>
      </c>
      <c r="F100" s="16">
        <v>260</v>
      </c>
      <c r="G100" s="16">
        <v>140</v>
      </c>
      <c r="H100" s="16">
        <v>110</v>
      </c>
    </row>
    <row r="101" spans="1:8" ht="14">
      <c r="A101" s="3" t="s">
        <v>278</v>
      </c>
      <c r="B101" s="3" t="s">
        <v>2260</v>
      </c>
      <c r="C101" s="3" t="s">
        <v>279</v>
      </c>
      <c r="D101" s="3" t="s">
        <v>280</v>
      </c>
      <c r="E101" s="4">
        <v>357</v>
      </c>
      <c r="F101" s="16">
        <v>380</v>
      </c>
      <c r="G101" s="16">
        <v>293</v>
      </c>
      <c r="H101" s="16">
        <v>250</v>
      </c>
    </row>
    <row r="102" spans="1:8" ht="14">
      <c r="A102" s="3" t="s">
        <v>281</v>
      </c>
      <c r="B102" s="3" t="s">
        <v>2261</v>
      </c>
      <c r="C102" s="3" t="s">
        <v>282</v>
      </c>
      <c r="D102" s="3" t="s">
        <v>283</v>
      </c>
      <c r="E102" s="4">
        <v>287</v>
      </c>
      <c r="F102" s="16">
        <v>380</v>
      </c>
      <c r="G102" s="16">
        <v>195</v>
      </c>
      <c r="H102" s="16">
        <v>215</v>
      </c>
    </row>
    <row r="103" spans="1:8" ht="14">
      <c r="A103" s="3" t="s">
        <v>284</v>
      </c>
      <c r="B103" s="3" t="s">
        <v>2262</v>
      </c>
      <c r="C103" s="3" t="s">
        <v>285</v>
      </c>
      <c r="D103" s="3" t="s">
        <v>285</v>
      </c>
      <c r="E103" s="4">
        <v>244</v>
      </c>
      <c r="F103" s="16">
        <v>300</v>
      </c>
      <c r="G103" s="16">
        <v>70</v>
      </c>
      <c r="H103" s="16">
        <v>250</v>
      </c>
    </row>
    <row r="104" spans="1:8" ht="14">
      <c r="A104" s="3" t="s">
        <v>286</v>
      </c>
      <c r="B104" s="3" t="s">
        <v>2263</v>
      </c>
      <c r="C104" s="3" t="s">
        <v>287</v>
      </c>
      <c r="D104" s="3" t="s">
        <v>288</v>
      </c>
      <c r="E104" s="4">
        <v>532</v>
      </c>
      <c r="F104" s="16">
        <v>798</v>
      </c>
      <c r="G104" s="16">
        <v>476</v>
      </c>
      <c r="H104" s="16">
        <v>238</v>
      </c>
    </row>
    <row r="105" spans="1:8" ht="14">
      <c r="A105" s="3" t="s">
        <v>289</v>
      </c>
      <c r="B105" s="3" t="s">
        <v>2264</v>
      </c>
      <c r="C105" s="3" t="s">
        <v>290</v>
      </c>
      <c r="D105" s="3" t="s">
        <v>291</v>
      </c>
      <c r="E105" s="4">
        <v>517</v>
      </c>
      <c r="F105" s="16">
        <v>775</v>
      </c>
      <c r="G105" s="16">
        <v>422</v>
      </c>
      <c r="H105" s="16">
        <v>211</v>
      </c>
    </row>
    <row r="106" spans="1:8" ht="14">
      <c r="A106" s="3" t="s">
        <v>292</v>
      </c>
      <c r="B106" s="3" t="s">
        <v>2265</v>
      </c>
      <c r="C106" s="3" t="s">
        <v>293</v>
      </c>
      <c r="D106" s="3" t="s">
        <v>294</v>
      </c>
      <c r="E106" s="4">
        <v>1093</v>
      </c>
      <c r="F106" s="16">
        <v>1400</v>
      </c>
      <c r="G106" s="16">
        <v>931</v>
      </c>
      <c r="H106" s="16">
        <v>1000</v>
      </c>
    </row>
    <row r="107" spans="1:8" ht="14">
      <c r="A107" s="3" t="s">
        <v>295</v>
      </c>
      <c r="B107" s="3" t="s">
        <v>2266</v>
      </c>
      <c r="C107" s="3" t="s">
        <v>296</v>
      </c>
      <c r="D107" s="3" t="s">
        <v>297</v>
      </c>
      <c r="E107" s="4">
        <v>819</v>
      </c>
      <c r="F107" s="16">
        <v>800</v>
      </c>
      <c r="G107" s="16">
        <v>651</v>
      </c>
      <c r="H107" s="16">
        <v>500</v>
      </c>
    </row>
    <row r="108" spans="1:8" ht="14">
      <c r="A108" s="3" t="s">
        <v>298</v>
      </c>
      <c r="B108" s="3" t="s">
        <v>2267</v>
      </c>
      <c r="C108" s="3" t="s">
        <v>299</v>
      </c>
      <c r="D108" s="3" t="s">
        <v>299</v>
      </c>
      <c r="E108" s="5">
        <v>1630</v>
      </c>
      <c r="F108" s="16">
        <v>2000</v>
      </c>
      <c r="G108" s="16">
        <v>1358</v>
      </c>
      <c r="H108" s="16">
        <v>1400</v>
      </c>
    </row>
    <row r="109" spans="1:8" ht="14">
      <c r="A109" s="3" t="s">
        <v>300</v>
      </c>
      <c r="B109" s="3" t="s">
        <v>2268</v>
      </c>
      <c r="C109" s="3" t="s">
        <v>301</v>
      </c>
      <c r="D109" s="3" t="s">
        <v>301</v>
      </c>
      <c r="E109" s="4">
        <v>285</v>
      </c>
      <c r="F109" s="16">
        <v>650</v>
      </c>
      <c r="G109" s="16">
        <v>247</v>
      </c>
      <c r="H109" s="16">
        <v>450</v>
      </c>
    </row>
    <row r="110" spans="1:8" ht="14">
      <c r="A110" s="3" t="s">
        <v>302</v>
      </c>
      <c r="B110" s="3" t="s">
        <v>2269</v>
      </c>
      <c r="C110" s="3" t="s">
        <v>303</v>
      </c>
      <c r="D110" s="3" t="s">
        <v>304</v>
      </c>
      <c r="E110" s="4">
        <v>1755</v>
      </c>
      <c r="F110" s="16">
        <v>2000</v>
      </c>
      <c r="G110" s="16">
        <v>1461</v>
      </c>
      <c r="H110" s="16">
        <v>1400</v>
      </c>
    </row>
    <row r="111" spans="1:8" ht="14">
      <c r="A111" s="3" t="s">
        <v>305</v>
      </c>
      <c r="B111" s="3" t="s">
        <v>2270</v>
      </c>
      <c r="C111" s="3" t="s">
        <v>306</v>
      </c>
      <c r="D111" s="3" t="s">
        <v>306</v>
      </c>
      <c r="E111" s="4">
        <v>2828</v>
      </c>
      <c r="F111" s="16">
        <v>3000</v>
      </c>
      <c r="G111" s="16">
        <v>2569</v>
      </c>
      <c r="H111" s="16">
        <v>2500</v>
      </c>
    </row>
    <row r="112" spans="1:8" ht="14">
      <c r="A112" s="3" t="s">
        <v>307</v>
      </c>
      <c r="B112" s="3" t="s">
        <v>2271</v>
      </c>
      <c r="C112" s="3" t="s">
        <v>308</v>
      </c>
      <c r="D112" s="3" t="s">
        <v>309</v>
      </c>
      <c r="E112" s="4">
        <v>3146</v>
      </c>
      <c r="F112" s="16">
        <v>2800</v>
      </c>
      <c r="G112" s="16">
        <v>2796</v>
      </c>
      <c r="H112" s="16">
        <v>2400</v>
      </c>
    </row>
    <row r="113" spans="1:9" ht="14">
      <c r="A113" s="3" t="s">
        <v>310</v>
      </c>
      <c r="B113" s="3" t="s">
        <v>2272</v>
      </c>
      <c r="C113" s="3" t="s">
        <v>311</v>
      </c>
      <c r="D113" s="3" t="s">
        <v>312</v>
      </c>
      <c r="E113" s="4">
        <v>1050</v>
      </c>
      <c r="F113" s="16">
        <v>800</v>
      </c>
      <c r="G113" s="16">
        <v>885</v>
      </c>
      <c r="H113" s="16">
        <v>650</v>
      </c>
    </row>
    <row r="114" spans="1:9" ht="14">
      <c r="A114" s="3" t="s">
        <v>313</v>
      </c>
      <c r="B114" s="3" t="s">
        <v>2273</v>
      </c>
      <c r="C114" s="3" t="s">
        <v>314</v>
      </c>
      <c r="D114" s="3" t="s">
        <v>315</v>
      </c>
      <c r="E114" s="4">
        <v>1373</v>
      </c>
      <c r="F114" s="16">
        <v>1100</v>
      </c>
      <c r="G114" s="16">
        <v>1054</v>
      </c>
      <c r="H114" s="16">
        <v>800</v>
      </c>
    </row>
    <row r="115" spans="1:9" ht="14">
      <c r="A115" s="3" t="s">
        <v>316</v>
      </c>
      <c r="B115" s="3" t="s">
        <v>2274</v>
      </c>
      <c r="C115" s="3" t="s">
        <v>317</v>
      </c>
      <c r="D115" s="3" t="s">
        <v>318</v>
      </c>
      <c r="E115" s="4">
        <v>740</v>
      </c>
      <c r="F115" s="16">
        <v>900</v>
      </c>
      <c r="G115" s="16">
        <v>705</v>
      </c>
      <c r="H115" s="16">
        <v>700</v>
      </c>
    </row>
    <row r="116" spans="1:9" s="2" customFormat="1" ht="14">
      <c r="A116" s="3" t="s">
        <v>319</v>
      </c>
      <c r="B116" s="3" t="s">
        <v>2275</v>
      </c>
      <c r="C116" s="3" t="s">
        <v>320</v>
      </c>
      <c r="D116" s="3" t="s">
        <v>321</v>
      </c>
      <c r="E116" s="5">
        <v>157</v>
      </c>
      <c r="F116" s="16">
        <v>150</v>
      </c>
      <c r="G116" s="17">
        <v>114</v>
      </c>
      <c r="H116" s="16">
        <v>100</v>
      </c>
      <c r="I116"/>
    </row>
    <row r="117" spans="1:9" ht="14">
      <c r="A117" s="3" t="s">
        <v>322</v>
      </c>
      <c r="B117" s="3" t="s">
        <v>2276</v>
      </c>
      <c r="C117" s="3" t="s">
        <v>323</v>
      </c>
      <c r="D117" s="3" t="s">
        <v>323</v>
      </c>
      <c r="E117" s="4">
        <v>99</v>
      </c>
      <c r="F117" s="16">
        <v>180</v>
      </c>
      <c r="G117" s="16">
        <v>72</v>
      </c>
      <c r="H117" s="16">
        <v>70</v>
      </c>
    </row>
    <row r="118" spans="1:9" ht="14">
      <c r="A118" s="3" t="s">
        <v>324</v>
      </c>
      <c r="B118" s="3" t="s">
        <v>2277</v>
      </c>
      <c r="C118" s="3" t="s">
        <v>325</v>
      </c>
      <c r="D118" s="3" t="s">
        <v>326</v>
      </c>
      <c r="E118" s="4">
        <v>141</v>
      </c>
      <c r="F118" s="16">
        <v>150</v>
      </c>
      <c r="G118" s="16">
        <v>97</v>
      </c>
      <c r="H118" s="16">
        <v>100</v>
      </c>
    </row>
    <row r="119" spans="1:9" ht="14">
      <c r="A119" s="3" t="s">
        <v>327</v>
      </c>
      <c r="B119" s="3" t="s">
        <v>2278</v>
      </c>
      <c r="C119" s="3" t="s">
        <v>328</v>
      </c>
      <c r="D119" s="3" t="s">
        <v>329</v>
      </c>
      <c r="E119" s="4">
        <v>148</v>
      </c>
      <c r="F119" s="16">
        <v>200</v>
      </c>
      <c r="G119" s="16">
        <v>106</v>
      </c>
      <c r="H119" s="16">
        <v>100</v>
      </c>
    </row>
    <row r="120" spans="1:9" ht="14">
      <c r="A120" s="3" t="s">
        <v>330</v>
      </c>
      <c r="B120" s="3" t="s">
        <v>2279</v>
      </c>
      <c r="C120" s="3" t="s">
        <v>331</v>
      </c>
      <c r="D120" s="3" t="s">
        <v>332</v>
      </c>
      <c r="E120" s="4">
        <v>86</v>
      </c>
      <c r="F120" s="16">
        <v>129</v>
      </c>
      <c r="G120" s="16">
        <v>74</v>
      </c>
      <c r="H120" s="16">
        <v>100</v>
      </c>
    </row>
    <row r="121" spans="1:9" ht="14">
      <c r="A121" s="3" t="s">
        <v>333</v>
      </c>
      <c r="B121" s="3" t="s">
        <v>2280</v>
      </c>
      <c r="C121" s="3" t="s">
        <v>334</v>
      </c>
      <c r="D121" s="3" t="s">
        <v>335</v>
      </c>
      <c r="E121" s="4">
        <v>232</v>
      </c>
      <c r="F121" s="16">
        <v>348</v>
      </c>
      <c r="G121" s="16">
        <v>145</v>
      </c>
      <c r="H121" s="16">
        <v>100</v>
      </c>
    </row>
    <row r="122" spans="1:9" s="2" customFormat="1" ht="14">
      <c r="A122" s="3" t="s">
        <v>336</v>
      </c>
      <c r="B122" s="3" t="s">
        <v>2281</v>
      </c>
      <c r="C122" s="3" t="s">
        <v>337</v>
      </c>
      <c r="D122" s="3" t="s">
        <v>338</v>
      </c>
      <c r="E122" s="4">
        <v>225</v>
      </c>
      <c r="F122" s="16">
        <v>337</v>
      </c>
      <c r="G122" s="17">
        <v>144</v>
      </c>
      <c r="H122" s="16">
        <v>100</v>
      </c>
      <c r="I122"/>
    </row>
    <row r="123" spans="1:9" ht="14">
      <c r="A123" s="3" t="s">
        <v>339</v>
      </c>
      <c r="B123" s="3" t="s">
        <v>2282</v>
      </c>
      <c r="C123" s="3" t="s">
        <v>340</v>
      </c>
      <c r="D123" s="3" t="s">
        <v>341</v>
      </c>
      <c r="E123" s="4">
        <v>87</v>
      </c>
      <c r="F123" s="16">
        <v>130</v>
      </c>
      <c r="G123" s="16">
        <v>75</v>
      </c>
      <c r="H123" s="16">
        <v>100</v>
      </c>
    </row>
    <row r="124" spans="1:9" ht="14">
      <c r="A124" s="3" t="s">
        <v>342</v>
      </c>
      <c r="B124" s="3" t="s">
        <v>2283</v>
      </c>
      <c r="C124" s="3" t="s">
        <v>343</v>
      </c>
      <c r="D124" s="3" t="s">
        <v>344</v>
      </c>
      <c r="E124" s="4">
        <v>152</v>
      </c>
      <c r="F124" s="16">
        <v>200</v>
      </c>
      <c r="G124" s="16">
        <v>89</v>
      </c>
      <c r="H124" s="16">
        <v>130</v>
      </c>
    </row>
    <row r="125" spans="1:9" ht="14">
      <c r="A125" s="3" t="s">
        <v>345</v>
      </c>
      <c r="B125" s="3" t="s">
        <v>2284</v>
      </c>
      <c r="C125" s="3" t="s">
        <v>346</v>
      </c>
      <c r="D125" s="3" t="s">
        <v>347</v>
      </c>
      <c r="E125" s="4">
        <v>119</v>
      </c>
      <c r="F125" s="16">
        <v>200</v>
      </c>
      <c r="G125" s="16">
        <v>89</v>
      </c>
      <c r="H125" s="16">
        <v>130</v>
      </c>
    </row>
    <row r="126" spans="1:9" ht="14">
      <c r="A126" s="3" t="s">
        <v>348</v>
      </c>
      <c r="B126" s="3" t="s">
        <v>2285</v>
      </c>
      <c r="C126" s="3" t="s">
        <v>349</v>
      </c>
      <c r="D126" s="3" t="s">
        <v>350</v>
      </c>
      <c r="E126" s="4">
        <v>129</v>
      </c>
      <c r="F126" s="16">
        <v>200</v>
      </c>
      <c r="G126" s="16">
        <v>89</v>
      </c>
      <c r="H126" s="16">
        <v>130</v>
      </c>
    </row>
    <row r="127" spans="1:9" ht="14">
      <c r="A127" s="3" t="s">
        <v>351</v>
      </c>
      <c r="B127" s="3" t="s">
        <v>2286</v>
      </c>
      <c r="C127" s="3" t="s">
        <v>352</v>
      </c>
      <c r="D127" s="3" t="s">
        <v>353</v>
      </c>
      <c r="E127" s="4">
        <v>121</v>
      </c>
      <c r="F127" s="16">
        <v>210</v>
      </c>
      <c r="G127" s="16">
        <v>120</v>
      </c>
      <c r="H127" s="16">
        <v>150</v>
      </c>
    </row>
    <row r="128" spans="1:9" ht="14">
      <c r="A128" s="3" t="s">
        <v>354</v>
      </c>
      <c r="B128" s="3" t="s">
        <v>2287</v>
      </c>
      <c r="C128" s="3" t="s">
        <v>355</v>
      </c>
      <c r="D128" s="3" t="s">
        <v>356</v>
      </c>
      <c r="E128" s="4">
        <v>205</v>
      </c>
      <c r="F128" s="16">
        <v>180</v>
      </c>
      <c r="G128" s="16">
        <v>180</v>
      </c>
      <c r="H128" s="16">
        <v>150</v>
      </c>
    </row>
    <row r="129" spans="1:8" ht="14">
      <c r="A129" s="3" t="s">
        <v>357</v>
      </c>
      <c r="B129" s="3" t="s">
        <v>2288</v>
      </c>
      <c r="C129" s="3" t="s">
        <v>358</v>
      </c>
      <c r="D129" s="3" t="s">
        <v>358</v>
      </c>
      <c r="E129" s="4">
        <v>220</v>
      </c>
      <c r="F129" s="16">
        <v>250</v>
      </c>
      <c r="G129" s="16">
        <v>189</v>
      </c>
      <c r="H129" s="16">
        <v>180</v>
      </c>
    </row>
    <row r="130" spans="1:8" ht="14">
      <c r="A130" s="3" t="s">
        <v>359</v>
      </c>
      <c r="B130" s="3" t="s">
        <v>2289</v>
      </c>
      <c r="C130" s="3" t="s">
        <v>360</v>
      </c>
      <c r="D130" s="3" t="s">
        <v>361</v>
      </c>
      <c r="E130" s="4">
        <v>455</v>
      </c>
      <c r="F130" s="16">
        <v>700</v>
      </c>
      <c r="G130" s="16">
        <v>403</v>
      </c>
      <c r="H130" s="16">
        <v>480</v>
      </c>
    </row>
    <row r="131" spans="1:8" ht="14">
      <c r="A131" s="3" t="s">
        <v>362</v>
      </c>
      <c r="B131" s="3" t="s">
        <v>2290</v>
      </c>
      <c r="C131" s="3" t="s">
        <v>363</v>
      </c>
      <c r="D131" s="3" t="s">
        <v>364</v>
      </c>
      <c r="E131" s="4">
        <v>223</v>
      </c>
      <c r="F131" s="16">
        <v>220</v>
      </c>
      <c r="G131" s="16">
        <v>135</v>
      </c>
      <c r="H131" s="16">
        <v>180</v>
      </c>
    </row>
    <row r="132" spans="1:8" ht="14">
      <c r="A132" s="3" t="s">
        <v>365</v>
      </c>
      <c r="B132" s="3" t="s">
        <v>2291</v>
      </c>
      <c r="C132" s="3" t="s">
        <v>366</v>
      </c>
      <c r="D132" s="3" t="s">
        <v>367</v>
      </c>
      <c r="E132" s="4">
        <v>425</v>
      </c>
      <c r="F132" s="16">
        <v>480</v>
      </c>
      <c r="G132" s="16">
        <v>399</v>
      </c>
      <c r="H132" s="16">
        <v>340</v>
      </c>
    </row>
    <row r="133" spans="1:8" ht="14">
      <c r="A133" s="3" t="s">
        <v>368</v>
      </c>
      <c r="B133" s="3" t="s">
        <v>2292</v>
      </c>
      <c r="C133" s="3" t="s">
        <v>369</v>
      </c>
      <c r="D133" s="3" t="s">
        <v>370</v>
      </c>
      <c r="E133" s="4">
        <v>789</v>
      </c>
      <c r="F133" s="16">
        <v>500</v>
      </c>
      <c r="G133" s="16">
        <v>703</v>
      </c>
      <c r="H133" s="16">
        <v>350</v>
      </c>
    </row>
    <row r="134" spans="1:8" ht="14">
      <c r="A134" s="3" t="s">
        <v>371</v>
      </c>
      <c r="B134" s="3" t="s">
        <v>2293</v>
      </c>
      <c r="C134" s="3" t="s">
        <v>372</v>
      </c>
      <c r="D134" s="3" t="s">
        <v>373</v>
      </c>
      <c r="E134" s="4">
        <v>455</v>
      </c>
      <c r="F134" s="16">
        <v>400</v>
      </c>
      <c r="G134" s="16">
        <v>234</v>
      </c>
      <c r="H134" s="16">
        <v>250</v>
      </c>
    </row>
    <row r="135" spans="1:8" ht="14">
      <c r="A135" s="3" t="s">
        <v>374</v>
      </c>
      <c r="B135" s="3" t="s">
        <v>2294</v>
      </c>
      <c r="C135" s="3" t="s">
        <v>375</v>
      </c>
      <c r="D135" s="3" t="s">
        <v>376</v>
      </c>
      <c r="E135" s="4">
        <v>259</v>
      </c>
      <c r="F135" s="16">
        <v>260</v>
      </c>
      <c r="G135" s="16">
        <v>240</v>
      </c>
      <c r="H135" s="16">
        <v>200</v>
      </c>
    </row>
    <row r="136" spans="1:8" ht="14">
      <c r="A136" s="3" t="s">
        <v>377</v>
      </c>
      <c r="B136" s="3" t="s">
        <v>2295</v>
      </c>
      <c r="C136" s="3" t="s">
        <v>378</v>
      </c>
      <c r="D136" s="3" t="s">
        <v>379</v>
      </c>
      <c r="E136" s="4">
        <v>146</v>
      </c>
      <c r="F136" s="16">
        <v>180</v>
      </c>
      <c r="G136" s="16">
        <v>59</v>
      </c>
      <c r="H136" s="16">
        <v>130</v>
      </c>
    </row>
    <row r="137" spans="1:8" ht="14">
      <c r="A137" s="3" t="s">
        <v>380</v>
      </c>
      <c r="B137" s="3" t="s">
        <v>2296</v>
      </c>
      <c r="C137" s="3" t="s">
        <v>381</v>
      </c>
      <c r="D137" s="3" t="s">
        <v>382</v>
      </c>
      <c r="E137" s="4">
        <v>266</v>
      </c>
      <c r="F137" s="16">
        <v>280</v>
      </c>
      <c r="G137" s="16">
        <v>110</v>
      </c>
      <c r="H137" s="16">
        <v>240</v>
      </c>
    </row>
    <row r="138" spans="1:8" ht="14">
      <c r="A138" s="3" t="s">
        <v>383</v>
      </c>
      <c r="B138" s="3" t="s">
        <v>2297</v>
      </c>
      <c r="C138" s="3" t="s">
        <v>384</v>
      </c>
      <c r="D138" s="3" t="s">
        <v>385</v>
      </c>
      <c r="E138" s="4">
        <v>140</v>
      </c>
      <c r="F138" s="16">
        <v>200</v>
      </c>
      <c r="G138" s="16">
        <v>117</v>
      </c>
      <c r="H138" s="16">
        <v>120</v>
      </c>
    </row>
    <row r="139" spans="1:8" ht="14">
      <c r="A139" s="3" t="s">
        <v>386</v>
      </c>
      <c r="B139" s="3" t="s">
        <v>2298</v>
      </c>
      <c r="C139" s="3" t="s">
        <v>387</v>
      </c>
      <c r="D139" s="3" t="s">
        <v>388</v>
      </c>
      <c r="E139" s="4">
        <v>238</v>
      </c>
      <c r="F139" s="16">
        <v>357</v>
      </c>
      <c r="G139" s="16">
        <v>208</v>
      </c>
      <c r="H139" s="16">
        <v>104</v>
      </c>
    </row>
    <row r="140" spans="1:8" ht="14">
      <c r="A140" s="3" t="s">
        <v>389</v>
      </c>
      <c r="B140" s="3" t="s">
        <v>2299</v>
      </c>
      <c r="C140" s="3" t="s">
        <v>390</v>
      </c>
      <c r="D140" s="3" t="s">
        <v>391</v>
      </c>
      <c r="E140" s="4">
        <v>149</v>
      </c>
      <c r="F140" s="16">
        <v>250</v>
      </c>
      <c r="G140" s="16">
        <v>93</v>
      </c>
      <c r="H140" s="16">
        <v>160</v>
      </c>
    </row>
    <row r="141" spans="1:8" ht="14">
      <c r="A141" s="3" t="s">
        <v>392</v>
      </c>
      <c r="B141" s="3" t="s">
        <v>2300</v>
      </c>
      <c r="C141" s="3" t="s">
        <v>393</v>
      </c>
      <c r="D141" s="3" t="s">
        <v>394</v>
      </c>
      <c r="E141" s="4">
        <v>144</v>
      </c>
      <c r="F141" s="16">
        <v>200</v>
      </c>
      <c r="G141" s="16">
        <v>124</v>
      </c>
      <c r="H141" s="16">
        <v>110</v>
      </c>
    </row>
    <row r="142" spans="1:8" ht="14">
      <c r="A142" s="3" t="s">
        <v>395</v>
      </c>
      <c r="B142" s="3" t="s">
        <v>2301</v>
      </c>
      <c r="C142" s="3" t="s">
        <v>396</v>
      </c>
      <c r="D142" s="3" t="s">
        <v>397</v>
      </c>
      <c r="E142" s="4">
        <v>236</v>
      </c>
      <c r="F142" s="16">
        <v>300</v>
      </c>
      <c r="G142" s="16">
        <v>154</v>
      </c>
      <c r="H142" s="16">
        <v>200</v>
      </c>
    </row>
    <row r="143" spans="1:8" ht="14">
      <c r="A143" s="3" t="s">
        <v>398</v>
      </c>
      <c r="B143" s="3" t="s">
        <v>2302</v>
      </c>
      <c r="C143" s="3" t="s">
        <v>399</v>
      </c>
      <c r="D143" s="3" t="s">
        <v>400</v>
      </c>
      <c r="E143" s="4">
        <v>481</v>
      </c>
      <c r="F143" s="16">
        <v>600</v>
      </c>
      <c r="G143" s="16">
        <v>378</v>
      </c>
      <c r="H143" s="16">
        <v>320</v>
      </c>
    </row>
    <row r="144" spans="1:8" ht="14">
      <c r="A144" s="3" t="s">
        <v>401</v>
      </c>
      <c r="B144" s="3" t="s">
        <v>2303</v>
      </c>
      <c r="C144" s="3" t="s">
        <v>402</v>
      </c>
      <c r="D144" s="3" t="s">
        <v>403</v>
      </c>
      <c r="E144" s="4">
        <v>556</v>
      </c>
      <c r="F144" s="16">
        <v>450</v>
      </c>
      <c r="G144" s="16">
        <v>283</v>
      </c>
      <c r="H144" s="16">
        <v>350</v>
      </c>
    </row>
    <row r="145" spans="1:8" ht="14">
      <c r="A145" s="3" t="s">
        <v>404</v>
      </c>
      <c r="B145" s="3" t="s">
        <v>2304</v>
      </c>
      <c r="C145" s="3" t="s">
        <v>405</v>
      </c>
      <c r="D145" s="3" t="s">
        <v>405</v>
      </c>
      <c r="E145" s="4">
        <v>231</v>
      </c>
      <c r="F145" s="16">
        <v>345</v>
      </c>
      <c r="G145" s="16">
        <v>197</v>
      </c>
      <c r="H145" s="16">
        <v>105</v>
      </c>
    </row>
    <row r="146" spans="1:8" ht="14">
      <c r="A146" s="3" t="s">
        <v>406</v>
      </c>
      <c r="B146" s="3" t="s">
        <v>2305</v>
      </c>
      <c r="C146" s="3" t="s">
        <v>407</v>
      </c>
      <c r="D146" s="3" t="s">
        <v>407</v>
      </c>
      <c r="E146" s="4">
        <v>124</v>
      </c>
      <c r="F146" s="16">
        <v>200</v>
      </c>
      <c r="G146" s="16">
        <v>85</v>
      </c>
      <c r="H146" s="16">
        <v>110</v>
      </c>
    </row>
    <row r="147" spans="1:8" ht="14">
      <c r="A147" s="3" t="s">
        <v>408</v>
      </c>
      <c r="B147" s="3" t="s">
        <v>2306</v>
      </c>
      <c r="C147" s="3" t="s">
        <v>409</v>
      </c>
      <c r="D147" s="3" t="s">
        <v>410</v>
      </c>
      <c r="E147" s="4">
        <v>120</v>
      </c>
      <c r="F147" s="16">
        <v>180</v>
      </c>
      <c r="G147" s="16">
        <v>112</v>
      </c>
      <c r="H147" s="16">
        <v>90</v>
      </c>
    </row>
    <row r="148" spans="1:8" ht="14">
      <c r="A148" s="3" t="s">
        <v>411</v>
      </c>
      <c r="B148" s="3" t="s">
        <v>2307</v>
      </c>
      <c r="C148" s="3" t="s">
        <v>412</v>
      </c>
      <c r="D148" s="3" t="s">
        <v>413</v>
      </c>
      <c r="E148" s="4">
        <v>336</v>
      </c>
      <c r="F148" s="16">
        <v>500</v>
      </c>
      <c r="G148" s="16">
        <v>316</v>
      </c>
      <c r="H148" s="16">
        <v>350</v>
      </c>
    </row>
    <row r="149" spans="1:8" ht="14">
      <c r="A149" s="3" t="s">
        <v>414</v>
      </c>
      <c r="B149" s="3" t="s">
        <v>2308</v>
      </c>
      <c r="C149" s="3" t="s">
        <v>415</v>
      </c>
      <c r="D149" s="3" t="s">
        <v>416</v>
      </c>
      <c r="E149" s="4">
        <v>181</v>
      </c>
      <c r="F149" s="16">
        <v>500</v>
      </c>
      <c r="G149" s="16">
        <v>158</v>
      </c>
      <c r="H149" s="16">
        <v>250</v>
      </c>
    </row>
    <row r="150" spans="1:8" ht="14">
      <c r="A150" s="3" t="s">
        <v>417</v>
      </c>
      <c r="B150" s="3" t="s">
        <v>2309</v>
      </c>
      <c r="C150" s="3" t="s">
        <v>418</v>
      </c>
      <c r="D150" s="3" t="s">
        <v>419</v>
      </c>
      <c r="E150" s="4">
        <v>302</v>
      </c>
      <c r="F150" s="16">
        <v>453</v>
      </c>
      <c r="G150" s="16">
        <v>264</v>
      </c>
      <c r="H150" s="16">
        <v>200</v>
      </c>
    </row>
    <row r="151" spans="1:8" ht="14">
      <c r="A151" s="3" t="s">
        <v>420</v>
      </c>
      <c r="B151" s="3" t="s">
        <v>2310</v>
      </c>
      <c r="C151" s="3" t="s">
        <v>421</v>
      </c>
      <c r="D151" s="3" t="s">
        <v>422</v>
      </c>
      <c r="E151" s="4">
        <v>181</v>
      </c>
      <c r="F151" s="16">
        <v>500</v>
      </c>
      <c r="G151" s="16">
        <v>158</v>
      </c>
      <c r="H151" s="16">
        <v>250</v>
      </c>
    </row>
    <row r="152" spans="1:8" ht="14">
      <c r="A152" s="3" t="s">
        <v>423</v>
      </c>
      <c r="B152" s="3" t="s">
        <v>2311</v>
      </c>
      <c r="C152" s="3" t="s">
        <v>424</v>
      </c>
      <c r="D152" s="3" t="s">
        <v>425</v>
      </c>
      <c r="E152" s="4">
        <v>181</v>
      </c>
      <c r="F152" s="16">
        <v>453</v>
      </c>
      <c r="G152" s="16">
        <v>158</v>
      </c>
      <c r="H152" s="16">
        <v>200</v>
      </c>
    </row>
    <row r="153" spans="1:8" ht="14">
      <c r="A153" s="3" t="s">
        <v>426</v>
      </c>
      <c r="B153" s="3" t="s">
        <v>2312</v>
      </c>
      <c r="C153" s="3" t="s">
        <v>427</v>
      </c>
      <c r="D153" s="3" t="s">
        <v>428</v>
      </c>
      <c r="E153" s="4">
        <v>302</v>
      </c>
      <c r="F153" s="16">
        <v>453</v>
      </c>
      <c r="G153" s="16">
        <v>264</v>
      </c>
      <c r="H153" s="16">
        <v>200</v>
      </c>
    </row>
    <row r="154" spans="1:8" ht="14">
      <c r="A154" s="3" t="s">
        <v>429</v>
      </c>
      <c r="B154" s="3" t="s">
        <v>2313</v>
      </c>
      <c r="C154" s="3" t="s">
        <v>430</v>
      </c>
      <c r="D154" s="3" t="s">
        <v>431</v>
      </c>
      <c r="E154" s="4">
        <v>181</v>
      </c>
      <c r="F154" s="16">
        <v>500</v>
      </c>
      <c r="G154" s="16">
        <v>158</v>
      </c>
      <c r="H154" s="16">
        <v>250</v>
      </c>
    </row>
    <row r="155" spans="1:8" ht="14">
      <c r="A155" s="3" t="s">
        <v>432</v>
      </c>
      <c r="B155" s="3" t="s">
        <v>2314</v>
      </c>
      <c r="C155" s="3" t="s">
        <v>433</v>
      </c>
      <c r="D155" s="3" t="s">
        <v>434</v>
      </c>
      <c r="E155" s="4">
        <v>311</v>
      </c>
      <c r="F155" s="16">
        <v>453</v>
      </c>
      <c r="G155" s="16">
        <v>298</v>
      </c>
      <c r="H155" s="16">
        <v>200</v>
      </c>
    </row>
    <row r="156" spans="1:8" ht="14">
      <c r="A156" s="3" t="s">
        <v>435</v>
      </c>
      <c r="B156" s="3" t="s">
        <v>2315</v>
      </c>
      <c r="C156" s="3" t="s">
        <v>436</v>
      </c>
      <c r="D156" s="3" t="s">
        <v>437</v>
      </c>
      <c r="E156" s="4">
        <v>600</v>
      </c>
      <c r="F156" s="16">
        <v>580</v>
      </c>
      <c r="G156" s="16">
        <v>565</v>
      </c>
      <c r="H156" s="16">
        <v>250</v>
      </c>
    </row>
    <row r="157" spans="1:8" ht="14">
      <c r="A157" s="3" t="s">
        <v>438</v>
      </c>
      <c r="B157" s="3" t="s">
        <v>2316</v>
      </c>
      <c r="C157" s="3" t="s">
        <v>439</v>
      </c>
      <c r="D157" s="3" t="s">
        <v>440</v>
      </c>
      <c r="E157" s="4">
        <v>284</v>
      </c>
      <c r="F157" s="16">
        <v>426</v>
      </c>
      <c r="G157" s="16">
        <v>249</v>
      </c>
      <c r="H157" s="16">
        <v>200</v>
      </c>
    </row>
    <row r="158" spans="1:8" ht="14">
      <c r="A158" s="3" t="s">
        <v>441</v>
      </c>
      <c r="B158" s="3" t="s">
        <v>2317</v>
      </c>
      <c r="C158" s="3" t="s">
        <v>442</v>
      </c>
      <c r="D158" s="3" t="s">
        <v>442</v>
      </c>
      <c r="E158" s="4">
        <v>158</v>
      </c>
      <c r="F158" s="16">
        <v>580</v>
      </c>
      <c r="G158" s="16">
        <v>138</v>
      </c>
      <c r="H158" s="16">
        <v>250</v>
      </c>
    </row>
    <row r="159" spans="1:8" ht="14">
      <c r="A159" s="3" t="s">
        <v>443</v>
      </c>
      <c r="B159" s="3" t="s">
        <v>2318</v>
      </c>
      <c r="C159" s="3" t="s">
        <v>444</v>
      </c>
      <c r="D159" s="3" t="s">
        <v>444</v>
      </c>
      <c r="E159" s="4">
        <v>218</v>
      </c>
      <c r="F159" s="16">
        <v>260</v>
      </c>
      <c r="G159" s="16">
        <v>191</v>
      </c>
      <c r="H159" s="16">
        <v>200</v>
      </c>
    </row>
    <row r="160" spans="1:8" ht="14">
      <c r="A160" s="3" t="s">
        <v>445</v>
      </c>
      <c r="B160" s="3" t="s">
        <v>2319</v>
      </c>
      <c r="C160" s="3" t="s">
        <v>446</v>
      </c>
      <c r="D160" s="3" t="s">
        <v>446</v>
      </c>
      <c r="E160" s="4">
        <v>61</v>
      </c>
      <c r="F160" s="16">
        <v>200</v>
      </c>
      <c r="G160" s="16">
        <v>41</v>
      </c>
      <c r="H160" s="16">
        <v>100</v>
      </c>
    </row>
    <row r="161" spans="1:8" ht="14">
      <c r="A161" s="3" t="s">
        <v>447</v>
      </c>
      <c r="B161" s="3" t="s">
        <v>2320</v>
      </c>
      <c r="C161" s="3" t="s">
        <v>448</v>
      </c>
      <c r="D161" s="3" t="s">
        <v>449</v>
      </c>
      <c r="E161" s="4">
        <v>1925</v>
      </c>
      <c r="F161" s="16">
        <v>2000</v>
      </c>
      <c r="G161" s="16">
        <v>1539</v>
      </c>
      <c r="H161" s="16">
        <v>1300</v>
      </c>
    </row>
    <row r="162" spans="1:8" ht="14">
      <c r="A162" s="3" t="s">
        <v>450</v>
      </c>
      <c r="B162" s="3" t="s">
        <v>2321</v>
      </c>
      <c r="C162" s="3" t="s">
        <v>451</v>
      </c>
      <c r="D162" s="3" t="s">
        <v>452</v>
      </c>
      <c r="E162" s="4">
        <v>206</v>
      </c>
      <c r="F162" s="16">
        <v>250</v>
      </c>
      <c r="G162" s="16">
        <v>126</v>
      </c>
      <c r="H162" s="16">
        <v>150</v>
      </c>
    </row>
    <row r="163" spans="1:8" ht="14">
      <c r="A163" s="3" t="s">
        <v>453</v>
      </c>
      <c r="B163" s="3" t="s">
        <v>2322</v>
      </c>
      <c r="C163" s="3" t="s">
        <v>454</v>
      </c>
      <c r="D163" s="3" t="s">
        <v>455</v>
      </c>
      <c r="E163" s="4">
        <v>301</v>
      </c>
      <c r="F163" s="16">
        <v>450</v>
      </c>
      <c r="G163" s="16">
        <v>266</v>
      </c>
      <c r="H163" s="16">
        <v>300</v>
      </c>
    </row>
    <row r="164" spans="1:8" ht="14">
      <c r="A164" s="3" t="s">
        <v>456</v>
      </c>
      <c r="B164" s="3" t="s">
        <v>2323</v>
      </c>
      <c r="C164" s="3" t="s">
        <v>457</v>
      </c>
      <c r="D164" s="3" t="s">
        <v>458</v>
      </c>
      <c r="E164" s="4">
        <v>540</v>
      </c>
      <c r="F164" s="16">
        <v>600</v>
      </c>
      <c r="G164" s="16">
        <v>520</v>
      </c>
      <c r="H164" s="16">
        <v>500</v>
      </c>
    </row>
    <row r="165" spans="1:8" ht="14">
      <c r="A165" s="3" t="s">
        <v>459</v>
      </c>
      <c r="B165" s="3" t="s">
        <v>2324</v>
      </c>
      <c r="C165" s="3" t="s">
        <v>460</v>
      </c>
      <c r="D165" s="3" t="s">
        <v>461</v>
      </c>
      <c r="E165" s="4">
        <v>730</v>
      </c>
      <c r="F165" s="16">
        <v>600</v>
      </c>
      <c r="G165" s="16">
        <v>670</v>
      </c>
      <c r="H165" s="16">
        <v>450</v>
      </c>
    </row>
    <row r="166" spans="1:8" ht="14">
      <c r="A166" s="3" t="s">
        <v>462</v>
      </c>
      <c r="B166" s="3" t="s">
        <v>2325</v>
      </c>
      <c r="C166" s="3" t="s">
        <v>463</v>
      </c>
      <c r="D166" s="3" t="s">
        <v>464</v>
      </c>
      <c r="E166" s="4">
        <v>192</v>
      </c>
      <c r="F166" s="16">
        <v>230</v>
      </c>
      <c r="G166" s="16">
        <v>178</v>
      </c>
      <c r="H166" s="16">
        <v>120</v>
      </c>
    </row>
    <row r="167" spans="1:8" ht="14">
      <c r="A167" s="3" t="s">
        <v>465</v>
      </c>
      <c r="B167" s="3" t="s">
        <v>2326</v>
      </c>
      <c r="C167" s="3" t="s">
        <v>466</v>
      </c>
      <c r="D167" s="3" t="s">
        <v>467</v>
      </c>
      <c r="E167" s="4">
        <v>186</v>
      </c>
      <c r="F167" s="16">
        <v>250</v>
      </c>
      <c r="G167" s="16">
        <v>140</v>
      </c>
      <c r="H167" s="16">
        <v>150</v>
      </c>
    </row>
    <row r="168" spans="1:8" ht="14">
      <c r="A168" s="3" t="s">
        <v>468</v>
      </c>
      <c r="B168" s="3" t="s">
        <v>2327</v>
      </c>
      <c r="C168" s="3" t="s">
        <v>469</v>
      </c>
      <c r="D168" s="3" t="s">
        <v>469</v>
      </c>
      <c r="E168" s="4">
        <v>494</v>
      </c>
      <c r="F168" s="16">
        <v>750</v>
      </c>
      <c r="G168" s="16">
        <v>630</v>
      </c>
      <c r="H168" s="16">
        <v>420</v>
      </c>
    </row>
    <row r="169" spans="1:8" ht="14">
      <c r="A169" s="3" t="s">
        <v>470</v>
      </c>
      <c r="B169" s="3" t="s">
        <v>2328</v>
      </c>
      <c r="C169" s="3" t="s">
        <v>471</v>
      </c>
      <c r="D169" s="3" t="s">
        <v>472</v>
      </c>
      <c r="E169" s="4">
        <v>165</v>
      </c>
      <c r="F169" s="16">
        <v>200</v>
      </c>
      <c r="G169" s="16">
        <v>125</v>
      </c>
      <c r="H169" s="16">
        <v>90</v>
      </c>
    </row>
    <row r="170" spans="1:8" ht="14">
      <c r="A170" s="3" t="s">
        <v>473</v>
      </c>
      <c r="B170" s="3" t="s">
        <v>2329</v>
      </c>
      <c r="C170" s="3" t="s">
        <v>474</v>
      </c>
      <c r="D170" s="3" t="s">
        <v>475</v>
      </c>
      <c r="E170" s="4">
        <v>530</v>
      </c>
      <c r="F170" s="16">
        <v>450</v>
      </c>
      <c r="G170" s="16">
        <v>410</v>
      </c>
      <c r="H170" s="16">
        <v>200</v>
      </c>
    </row>
    <row r="171" spans="1:8" ht="14">
      <c r="A171" s="3" t="s">
        <v>476</v>
      </c>
      <c r="B171" s="3" t="s">
        <v>2330</v>
      </c>
      <c r="C171" s="3" t="s">
        <v>477</v>
      </c>
      <c r="D171" s="3" t="s">
        <v>478</v>
      </c>
      <c r="E171" s="4">
        <v>127</v>
      </c>
      <c r="F171" s="16">
        <v>250</v>
      </c>
      <c r="G171" s="16">
        <v>98</v>
      </c>
      <c r="H171" s="16">
        <v>130</v>
      </c>
    </row>
    <row r="172" spans="1:8" ht="14">
      <c r="A172" s="3" t="s">
        <v>479</v>
      </c>
      <c r="B172" s="3" t="s">
        <v>2331</v>
      </c>
      <c r="C172" s="3" t="s">
        <v>480</v>
      </c>
      <c r="D172" s="3" t="s">
        <v>481</v>
      </c>
      <c r="E172" s="4">
        <v>248</v>
      </c>
      <c r="F172" s="16">
        <v>372</v>
      </c>
      <c r="G172" s="16">
        <v>238</v>
      </c>
      <c r="H172" s="16">
        <v>119</v>
      </c>
    </row>
    <row r="173" spans="1:8" ht="14">
      <c r="A173" s="3" t="s">
        <v>482</v>
      </c>
      <c r="B173" s="3" t="s">
        <v>2332</v>
      </c>
      <c r="C173" s="3" t="s">
        <v>483</v>
      </c>
      <c r="D173" s="3" t="s">
        <v>484</v>
      </c>
      <c r="E173" s="4">
        <v>309</v>
      </c>
      <c r="F173" s="16">
        <v>280</v>
      </c>
      <c r="G173" s="16">
        <v>167</v>
      </c>
      <c r="H173" s="16">
        <v>200</v>
      </c>
    </row>
    <row r="174" spans="1:8" ht="14">
      <c r="A174" s="3" t="s">
        <v>485</v>
      </c>
      <c r="B174" s="3" t="s">
        <v>2333</v>
      </c>
      <c r="C174" s="3" t="s">
        <v>486</v>
      </c>
      <c r="D174" s="3" t="s">
        <v>487</v>
      </c>
      <c r="E174" s="4">
        <v>460</v>
      </c>
      <c r="F174" s="16">
        <v>500</v>
      </c>
      <c r="G174" s="16">
        <v>450</v>
      </c>
      <c r="H174" s="16">
        <v>400</v>
      </c>
    </row>
    <row r="175" spans="1:8" ht="14">
      <c r="A175" s="3" t="s">
        <v>488</v>
      </c>
      <c r="B175" s="3" t="s">
        <v>2334</v>
      </c>
      <c r="C175" s="3" t="s">
        <v>489</v>
      </c>
      <c r="D175" s="3" t="s">
        <v>489</v>
      </c>
      <c r="E175" s="4">
        <v>268</v>
      </c>
      <c r="F175" s="16">
        <v>400</v>
      </c>
      <c r="G175" s="16">
        <v>268</v>
      </c>
      <c r="H175" s="16">
        <v>300</v>
      </c>
    </row>
    <row r="176" spans="1:8" ht="14">
      <c r="A176" s="3" t="s">
        <v>490</v>
      </c>
      <c r="B176" s="3" t="s">
        <v>2335</v>
      </c>
      <c r="C176" s="3" t="s">
        <v>491</v>
      </c>
      <c r="D176" s="3" t="s">
        <v>491</v>
      </c>
      <c r="E176" s="4">
        <v>1180</v>
      </c>
      <c r="F176" s="16">
        <f>650*2</f>
        <v>1300</v>
      </c>
      <c r="G176" s="16">
        <v>936</v>
      </c>
      <c r="H176" s="16">
        <v>930</v>
      </c>
    </row>
    <row r="177" spans="1:8" ht="14">
      <c r="A177" s="3" t="s">
        <v>492</v>
      </c>
      <c r="B177" s="3" t="s">
        <v>2336</v>
      </c>
      <c r="C177" s="3" t="s">
        <v>493</v>
      </c>
      <c r="D177" s="3" t="s">
        <v>494</v>
      </c>
      <c r="E177" s="4">
        <v>438</v>
      </c>
      <c r="F177" s="16">
        <v>200</v>
      </c>
      <c r="G177" s="16">
        <v>168</v>
      </c>
      <c r="H177" s="16">
        <v>120</v>
      </c>
    </row>
    <row r="178" spans="1:8" ht="14">
      <c r="A178" s="3" t="s">
        <v>495</v>
      </c>
      <c r="B178" s="3" t="s">
        <v>2337</v>
      </c>
      <c r="C178" s="3" t="s">
        <v>496</v>
      </c>
      <c r="D178" s="3" t="s">
        <v>497</v>
      </c>
      <c r="E178" s="4">
        <v>186</v>
      </c>
      <c r="F178" s="16">
        <v>200</v>
      </c>
      <c r="G178" s="16">
        <v>138</v>
      </c>
      <c r="H178" s="16">
        <v>100</v>
      </c>
    </row>
    <row r="179" spans="1:8" ht="14">
      <c r="A179" s="3" t="s">
        <v>498</v>
      </c>
      <c r="B179" s="3" t="s">
        <v>2338</v>
      </c>
      <c r="C179" s="3" t="s">
        <v>499</v>
      </c>
      <c r="D179" s="3" t="s">
        <v>500</v>
      </c>
      <c r="E179" s="4">
        <v>125</v>
      </c>
      <c r="F179" s="16">
        <v>150</v>
      </c>
      <c r="G179" s="16">
        <v>87</v>
      </c>
      <c r="H179" s="16">
        <v>100</v>
      </c>
    </row>
    <row r="180" spans="1:8" ht="14">
      <c r="A180" s="3" t="s">
        <v>501</v>
      </c>
      <c r="B180" s="3" t="s">
        <v>2339</v>
      </c>
      <c r="C180" s="3" t="s">
        <v>502</v>
      </c>
      <c r="D180" s="3" t="s">
        <v>503</v>
      </c>
      <c r="E180" s="4">
        <v>469</v>
      </c>
      <c r="F180" s="16">
        <v>600</v>
      </c>
      <c r="G180" s="16">
        <v>252</v>
      </c>
      <c r="H180" s="16">
        <v>300</v>
      </c>
    </row>
    <row r="181" spans="1:8" ht="14">
      <c r="A181" s="3" t="s">
        <v>504</v>
      </c>
      <c r="B181" s="3" t="s">
        <v>2340</v>
      </c>
      <c r="C181" s="3" t="s">
        <v>505</v>
      </c>
      <c r="D181" s="3" t="s">
        <v>506</v>
      </c>
      <c r="E181" s="4">
        <v>268</v>
      </c>
      <c r="F181" s="16">
        <v>400</v>
      </c>
      <c r="G181" s="16">
        <v>214</v>
      </c>
      <c r="H181" s="16">
        <v>200</v>
      </c>
    </row>
    <row r="182" spans="1:8" ht="14">
      <c r="A182" s="3" t="s">
        <v>507</v>
      </c>
      <c r="B182" s="3" t="s">
        <v>2341</v>
      </c>
      <c r="C182" s="3" t="s">
        <v>508</v>
      </c>
      <c r="D182" s="3" t="s">
        <v>509</v>
      </c>
      <c r="E182" s="4">
        <v>61</v>
      </c>
      <c r="F182" s="16">
        <v>150</v>
      </c>
      <c r="G182" s="16">
        <v>41</v>
      </c>
      <c r="H182" s="16">
        <v>50</v>
      </c>
    </row>
    <row r="183" spans="1:8" ht="14">
      <c r="A183" s="3" t="s">
        <v>510</v>
      </c>
      <c r="B183" s="3" t="s">
        <v>2342</v>
      </c>
      <c r="C183" s="3" t="s">
        <v>511</v>
      </c>
      <c r="D183" s="3" t="s">
        <v>512</v>
      </c>
      <c r="E183" s="4">
        <v>620</v>
      </c>
      <c r="F183" s="16">
        <v>700</v>
      </c>
      <c r="G183" s="16">
        <v>590</v>
      </c>
      <c r="H183" s="16">
        <v>400</v>
      </c>
    </row>
    <row r="184" spans="1:8" ht="14">
      <c r="A184" s="3" t="s">
        <v>513</v>
      </c>
      <c r="B184" s="3" t="s">
        <v>2343</v>
      </c>
      <c r="C184" s="3" t="s">
        <v>514</v>
      </c>
      <c r="D184" s="3" t="s">
        <v>515</v>
      </c>
      <c r="E184" s="4">
        <v>315</v>
      </c>
      <c r="F184" s="16">
        <v>700</v>
      </c>
      <c r="G184" s="16">
        <v>308</v>
      </c>
      <c r="H184" s="16">
        <v>400</v>
      </c>
    </row>
    <row r="185" spans="1:8" ht="14">
      <c r="A185" s="3" t="s">
        <v>516</v>
      </c>
      <c r="B185" s="3" t="s">
        <v>2344</v>
      </c>
      <c r="C185" s="3" t="s">
        <v>517</v>
      </c>
      <c r="D185" s="3" t="s">
        <v>518</v>
      </c>
      <c r="E185" s="4">
        <v>600</v>
      </c>
      <c r="F185" s="16">
        <v>700</v>
      </c>
      <c r="G185" s="16">
        <v>597</v>
      </c>
      <c r="H185" s="16">
        <v>400</v>
      </c>
    </row>
    <row r="186" spans="1:8" ht="14">
      <c r="A186" s="3" t="s">
        <v>519</v>
      </c>
      <c r="B186" s="3" t="s">
        <v>2345</v>
      </c>
      <c r="C186" s="3" t="s">
        <v>520</v>
      </c>
      <c r="D186" s="3" t="s">
        <v>521</v>
      </c>
      <c r="E186" s="4">
        <v>196</v>
      </c>
      <c r="F186" s="16">
        <v>300</v>
      </c>
      <c r="G186" s="16">
        <v>186</v>
      </c>
      <c r="H186" s="16">
        <v>210</v>
      </c>
    </row>
    <row r="187" spans="1:8" ht="14">
      <c r="A187" s="3" t="s">
        <v>522</v>
      </c>
      <c r="B187" s="3" t="s">
        <v>2346</v>
      </c>
      <c r="C187" s="3" t="s">
        <v>523</v>
      </c>
      <c r="D187" s="3" t="s">
        <v>524</v>
      </c>
      <c r="E187" s="4">
        <v>196</v>
      </c>
      <c r="F187" s="16">
        <v>300</v>
      </c>
      <c r="G187" s="16">
        <v>186</v>
      </c>
      <c r="H187" s="16">
        <v>210</v>
      </c>
    </row>
    <row r="188" spans="1:8" ht="14">
      <c r="A188" s="3" t="s">
        <v>525</v>
      </c>
      <c r="B188" s="3" t="s">
        <v>2347</v>
      </c>
      <c r="C188" s="3" t="s">
        <v>526</v>
      </c>
      <c r="D188" s="3" t="s">
        <v>527</v>
      </c>
      <c r="E188" s="4">
        <v>196</v>
      </c>
      <c r="F188" s="16">
        <v>300</v>
      </c>
      <c r="G188" s="16">
        <v>174</v>
      </c>
      <c r="H188" s="16">
        <v>210</v>
      </c>
    </row>
    <row r="189" spans="1:8" ht="14">
      <c r="A189" s="3" t="s">
        <v>528</v>
      </c>
      <c r="B189" s="3" t="s">
        <v>2348</v>
      </c>
      <c r="C189" s="3" t="s">
        <v>529</v>
      </c>
      <c r="D189" s="3" t="s">
        <v>530</v>
      </c>
      <c r="E189" s="4">
        <v>315</v>
      </c>
      <c r="F189" s="16">
        <v>300</v>
      </c>
      <c r="G189" s="16">
        <v>294</v>
      </c>
      <c r="H189" s="16">
        <v>210</v>
      </c>
    </row>
    <row r="190" spans="1:8" ht="14">
      <c r="A190" s="3" t="s">
        <v>531</v>
      </c>
      <c r="B190" s="3" t="s">
        <v>2349</v>
      </c>
      <c r="C190" s="3" t="s">
        <v>532</v>
      </c>
      <c r="D190" s="3" t="s">
        <v>533</v>
      </c>
      <c r="E190" s="4">
        <v>9</v>
      </c>
      <c r="F190" s="16">
        <v>30</v>
      </c>
      <c r="G190" s="16">
        <v>7</v>
      </c>
      <c r="H190" s="16">
        <v>15</v>
      </c>
    </row>
    <row r="191" spans="1:8" ht="14">
      <c r="A191" s="3" t="s">
        <v>534</v>
      </c>
      <c r="B191" s="3" t="s">
        <v>2350</v>
      </c>
      <c r="C191" s="3" t="s">
        <v>535</v>
      </c>
      <c r="D191" s="3" t="s">
        <v>536</v>
      </c>
      <c r="E191" s="4">
        <v>170</v>
      </c>
      <c r="F191" s="16">
        <v>100</v>
      </c>
      <c r="G191" s="16">
        <v>149</v>
      </c>
      <c r="H191" s="16">
        <v>70</v>
      </c>
    </row>
    <row r="192" spans="1:8" s="2" customFormat="1" ht="14">
      <c r="A192" s="12" t="s">
        <v>537</v>
      </c>
      <c r="B192" s="3" t="s">
        <v>2351</v>
      </c>
      <c r="C192" s="12" t="s">
        <v>538</v>
      </c>
      <c r="D192" s="12" t="s">
        <v>539</v>
      </c>
      <c r="E192" s="5">
        <v>94</v>
      </c>
      <c r="F192" s="17">
        <v>110</v>
      </c>
      <c r="G192" s="17">
        <v>79</v>
      </c>
      <c r="H192" s="17">
        <v>90</v>
      </c>
    </row>
    <row r="193" spans="1:8" ht="14">
      <c r="A193" s="3" t="s">
        <v>540</v>
      </c>
      <c r="B193" s="3" t="s">
        <v>2352</v>
      </c>
      <c r="C193" s="3" t="s">
        <v>541</v>
      </c>
      <c r="D193" s="3" t="s">
        <v>541</v>
      </c>
      <c r="E193" s="4">
        <v>52</v>
      </c>
      <c r="F193" s="16">
        <v>78</v>
      </c>
      <c r="G193" s="16">
        <v>34</v>
      </c>
      <c r="H193" s="16">
        <v>17</v>
      </c>
    </row>
    <row r="194" spans="1:8" ht="14">
      <c r="A194" s="3" t="s">
        <v>542</v>
      </c>
      <c r="B194" s="3" t="s">
        <v>2353</v>
      </c>
      <c r="C194" s="3" t="s">
        <v>543</v>
      </c>
      <c r="D194" s="3" t="s">
        <v>544</v>
      </c>
      <c r="E194" s="4">
        <v>86</v>
      </c>
      <c r="F194" s="16">
        <v>129</v>
      </c>
      <c r="G194" s="16">
        <v>62</v>
      </c>
      <c r="H194" s="16">
        <v>31</v>
      </c>
    </row>
    <row r="195" spans="1:8" ht="14">
      <c r="A195" s="3" t="s">
        <v>545</v>
      </c>
      <c r="B195" s="3" t="s">
        <v>2354</v>
      </c>
      <c r="C195" s="3" t="s">
        <v>546</v>
      </c>
      <c r="D195" s="3" t="s">
        <v>547</v>
      </c>
      <c r="E195" s="4">
        <v>107</v>
      </c>
      <c r="F195" s="16">
        <v>160</v>
      </c>
      <c r="G195" s="16">
        <v>90</v>
      </c>
      <c r="H195" s="16">
        <v>45</v>
      </c>
    </row>
    <row r="196" spans="1:8" ht="14">
      <c r="A196" s="3" t="s">
        <v>548</v>
      </c>
      <c r="B196" s="3" t="s">
        <v>2355</v>
      </c>
      <c r="C196" s="3" t="s">
        <v>549</v>
      </c>
      <c r="D196" s="3" t="s">
        <v>549</v>
      </c>
      <c r="E196" s="4">
        <v>118</v>
      </c>
      <c r="F196" s="16">
        <v>150</v>
      </c>
      <c r="G196" s="16">
        <v>117</v>
      </c>
      <c r="H196" s="16">
        <v>60</v>
      </c>
    </row>
    <row r="197" spans="1:8" ht="14">
      <c r="A197" s="3" t="s">
        <v>550</v>
      </c>
      <c r="B197" s="3" t="s">
        <v>2356</v>
      </c>
      <c r="C197" s="3" t="s">
        <v>551</v>
      </c>
      <c r="D197" s="3" t="s">
        <v>551</v>
      </c>
      <c r="E197" s="4">
        <v>62</v>
      </c>
      <c r="F197" s="16">
        <v>93</v>
      </c>
      <c r="G197" s="16">
        <v>58</v>
      </c>
      <c r="H197" s="16">
        <v>40</v>
      </c>
    </row>
    <row r="198" spans="1:8" ht="14">
      <c r="A198" s="3" t="s">
        <v>552</v>
      </c>
      <c r="B198" s="3" t="s">
        <v>2357</v>
      </c>
      <c r="C198" s="3" t="s">
        <v>553</v>
      </c>
      <c r="D198" s="3" t="s">
        <v>554</v>
      </c>
      <c r="E198" s="4">
        <v>370</v>
      </c>
      <c r="F198" s="16">
        <v>555</v>
      </c>
      <c r="G198" s="16">
        <v>354</v>
      </c>
      <c r="H198" s="16">
        <v>177</v>
      </c>
    </row>
    <row r="199" spans="1:8" ht="14">
      <c r="A199" s="3" t="s">
        <v>555</v>
      </c>
      <c r="B199" s="3" t="s">
        <v>2358</v>
      </c>
      <c r="C199" s="3" t="s">
        <v>556</v>
      </c>
      <c r="D199" s="3" t="s">
        <v>557</v>
      </c>
      <c r="E199" s="4">
        <v>475</v>
      </c>
      <c r="F199" s="16">
        <v>500</v>
      </c>
      <c r="G199" s="16">
        <v>455</v>
      </c>
      <c r="H199" s="16">
        <v>400</v>
      </c>
    </row>
    <row r="200" spans="1:8" ht="14">
      <c r="A200" s="3" t="s">
        <v>558</v>
      </c>
      <c r="B200" s="3" t="s">
        <v>2359</v>
      </c>
      <c r="C200" s="3" t="s">
        <v>559</v>
      </c>
      <c r="D200" s="3" t="s">
        <v>560</v>
      </c>
      <c r="E200" s="4">
        <v>130</v>
      </c>
      <c r="F200" s="16">
        <v>150</v>
      </c>
      <c r="G200" s="16">
        <v>98</v>
      </c>
      <c r="H200" s="16">
        <v>90</v>
      </c>
    </row>
    <row r="201" spans="1:8" ht="14">
      <c r="A201" s="3" t="s">
        <v>561</v>
      </c>
      <c r="B201" s="3" t="s">
        <v>2360</v>
      </c>
      <c r="C201" s="3" t="s">
        <v>562</v>
      </c>
      <c r="D201" s="3" t="s">
        <v>563</v>
      </c>
      <c r="E201" s="4">
        <v>287</v>
      </c>
      <c r="F201" s="16">
        <v>200</v>
      </c>
      <c r="G201" s="16">
        <v>255</v>
      </c>
      <c r="H201" s="16">
        <v>120</v>
      </c>
    </row>
    <row r="202" spans="1:8" ht="14">
      <c r="A202" s="3" t="s">
        <v>564</v>
      </c>
      <c r="B202" s="3" t="s">
        <v>2361</v>
      </c>
      <c r="C202" s="3" t="s">
        <v>565</v>
      </c>
      <c r="D202" s="3" t="s">
        <v>566</v>
      </c>
      <c r="E202" s="4">
        <v>460</v>
      </c>
      <c r="F202" s="16">
        <v>500</v>
      </c>
      <c r="G202" s="16">
        <v>385</v>
      </c>
      <c r="H202" s="16">
        <v>300</v>
      </c>
    </row>
    <row r="203" spans="1:8" ht="14">
      <c r="A203" s="3" t="s">
        <v>567</v>
      </c>
      <c r="B203" s="3" t="s">
        <v>2362</v>
      </c>
      <c r="C203" s="3" t="s">
        <v>568</v>
      </c>
      <c r="D203" s="3" t="s">
        <v>568</v>
      </c>
      <c r="E203" s="4">
        <v>236</v>
      </c>
      <c r="F203" s="16">
        <v>60</v>
      </c>
      <c r="G203" s="16">
        <v>147</v>
      </c>
      <c r="H203" s="16">
        <v>40</v>
      </c>
    </row>
    <row r="204" spans="1:8" ht="14">
      <c r="A204" s="3" t="s">
        <v>569</v>
      </c>
      <c r="B204" s="3" t="s">
        <v>2363</v>
      </c>
      <c r="C204" s="3" t="s">
        <v>570</v>
      </c>
      <c r="D204" s="3" t="s">
        <v>570</v>
      </c>
      <c r="E204" s="4">
        <v>924</v>
      </c>
      <c r="F204" s="16">
        <v>950</v>
      </c>
      <c r="G204" s="16">
        <v>644</v>
      </c>
      <c r="H204" s="16">
        <v>800</v>
      </c>
    </row>
    <row r="205" spans="1:8" ht="14">
      <c r="A205" s="3" t="s">
        <v>571</v>
      </c>
      <c r="B205" s="3" t="s">
        <v>2364</v>
      </c>
      <c r="C205" s="3" t="s">
        <v>572</v>
      </c>
      <c r="D205" s="3" t="s">
        <v>573</v>
      </c>
      <c r="E205" s="4">
        <v>365</v>
      </c>
      <c r="F205" s="16">
        <v>500</v>
      </c>
      <c r="G205" s="16">
        <v>325</v>
      </c>
      <c r="H205" s="16">
        <v>300</v>
      </c>
    </row>
    <row r="206" spans="1:8" ht="14">
      <c r="A206" s="3" t="s">
        <v>574</v>
      </c>
      <c r="B206" s="3" t="s">
        <v>2365</v>
      </c>
      <c r="C206" s="3" t="s">
        <v>575</v>
      </c>
      <c r="D206" s="3" t="s">
        <v>575</v>
      </c>
      <c r="E206" s="4">
        <v>245</v>
      </c>
      <c r="F206" s="16">
        <v>300</v>
      </c>
      <c r="G206" s="16">
        <v>198</v>
      </c>
      <c r="H206" s="16">
        <v>180</v>
      </c>
    </row>
    <row r="207" spans="1:8" ht="14">
      <c r="A207" s="3" t="s">
        <v>576</v>
      </c>
      <c r="B207" s="3" t="s">
        <v>2366</v>
      </c>
      <c r="C207" s="3" t="s">
        <v>577</v>
      </c>
      <c r="D207" s="3" t="s">
        <v>577</v>
      </c>
      <c r="E207" s="4">
        <v>440</v>
      </c>
      <c r="F207" s="16">
        <v>550</v>
      </c>
      <c r="G207" s="16">
        <v>433</v>
      </c>
      <c r="H207" s="16">
        <v>400</v>
      </c>
    </row>
    <row r="208" spans="1:8" ht="14">
      <c r="A208" s="3" t="s">
        <v>578</v>
      </c>
      <c r="B208" s="3" t="s">
        <v>2367</v>
      </c>
      <c r="C208" s="3" t="s">
        <v>579</v>
      </c>
      <c r="D208" s="3" t="s">
        <v>580</v>
      </c>
      <c r="E208" s="4">
        <v>114</v>
      </c>
      <c r="F208" s="16">
        <v>150</v>
      </c>
      <c r="G208" s="16">
        <v>103</v>
      </c>
      <c r="H208" s="16">
        <v>80</v>
      </c>
    </row>
    <row r="209" spans="1:8" ht="14">
      <c r="A209" s="3" t="s">
        <v>581</v>
      </c>
      <c r="B209" s="3" t="s">
        <v>2368</v>
      </c>
      <c r="C209" s="3" t="s">
        <v>582</v>
      </c>
      <c r="D209" s="3" t="s">
        <v>582</v>
      </c>
      <c r="E209" s="4">
        <v>97</v>
      </c>
      <c r="F209" s="16">
        <v>150</v>
      </c>
      <c r="G209" s="16">
        <v>70</v>
      </c>
      <c r="H209" s="16">
        <v>70</v>
      </c>
    </row>
    <row r="210" spans="1:8" ht="14">
      <c r="A210" s="3" t="s">
        <v>583</v>
      </c>
      <c r="B210" s="3" t="s">
        <v>2369</v>
      </c>
      <c r="C210" s="3" t="s">
        <v>584</v>
      </c>
      <c r="D210" s="3" t="s">
        <v>585</v>
      </c>
      <c r="E210" s="4">
        <v>296</v>
      </c>
      <c r="F210" s="16">
        <v>350</v>
      </c>
      <c r="G210" s="16">
        <v>262</v>
      </c>
      <c r="H210" s="16">
        <v>200</v>
      </c>
    </row>
    <row r="211" spans="1:8" ht="14">
      <c r="A211" s="3" t="s">
        <v>586</v>
      </c>
      <c r="B211" s="3" t="s">
        <v>2370</v>
      </c>
      <c r="C211" s="3" t="s">
        <v>587</v>
      </c>
      <c r="D211" s="3" t="s">
        <v>588</v>
      </c>
      <c r="E211" s="4">
        <v>145</v>
      </c>
      <c r="F211" s="16">
        <v>180</v>
      </c>
      <c r="G211" s="16">
        <v>98</v>
      </c>
      <c r="H211" s="16">
        <v>100</v>
      </c>
    </row>
    <row r="212" spans="1:8" ht="14">
      <c r="A212" s="3" t="s">
        <v>589</v>
      </c>
      <c r="B212" s="3" t="s">
        <v>2371</v>
      </c>
      <c r="C212" s="3" t="s">
        <v>590</v>
      </c>
      <c r="D212" s="3" t="s">
        <v>591</v>
      </c>
      <c r="E212" s="4">
        <v>110</v>
      </c>
      <c r="F212" s="16">
        <v>150</v>
      </c>
      <c r="G212" s="16">
        <v>90</v>
      </c>
      <c r="H212" s="16">
        <v>100</v>
      </c>
    </row>
    <row r="213" spans="1:8" ht="14">
      <c r="A213" s="3" t="s">
        <v>592</v>
      </c>
      <c r="B213" s="3" t="s">
        <v>2372</v>
      </c>
      <c r="C213" s="3" t="s">
        <v>593</v>
      </c>
      <c r="D213" s="3" t="s">
        <v>594</v>
      </c>
      <c r="E213" s="4">
        <v>120</v>
      </c>
      <c r="F213" s="16">
        <v>300</v>
      </c>
      <c r="G213" s="16">
        <v>114</v>
      </c>
      <c r="H213" s="16">
        <v>200</v>
      </c>
    </row>
    <row r="214" spans="1:8" ht="14">
      <c r="A214" s="3" t="s">
        <v>595</v>
      </c>
      <c r="B214" s="3" t="s">
        <v>2373</v>
      </c>
      <c r="C214" s="3" t="s">
        <v>596</v>
      </c>
      <c r="D214" s="3" t="s">
        <v>596</v>
      </c>
      <c r="E214" s="4">
        <v>194</v>
      </c>
      <c r="F214" s="16">
        <v>200</v>
      </c>
      <c r="G214" s="16">
        <v>140</v>
      </c>
      <c r="H214" s="16">
        <v>100</v>
      </c>
    </row>
    <row r="215" spans="1:8" ht="14">
      <c r="A215" s="3" t="s">
        <v>597</v>
      </c>
      <c r="B215" s="3" t="s">
        <v>2374</v>
      </c>
      <c r="C215" s="3" t="s">
        <v>598</v>
      </c>
      <c r="D215" s="3" t="s">
        <v>598</v>
      </c>
      <c r="E215" s="4">
        <v>48</v>
      </c>
      <c r="F215" s="16">
        <v>60</v>
      </c>
      <c r="G215" s="16">
        <v>42</v>
      </c>
      <c r="H215" s="16">
        <v>40</v>
      </c>
    </row>
    <row r="216" spans="1:8" ht="14">
      <c r="A216" s="3" t="s">
        <v>599</v>
      </c>
      <c r="B216" s="3" t="s">
        <v>2375</v>
      </c>
      <c r="C216" s="3" t="s">
        <v>600</v>
      </c>
      <c r="D216" s="3" t="s">
        <v>601</v>
      </c>
      <c r="E216" s="4">
        <v>80</v>
      </c>
      <c r="F216" s="16">
        <v>80</v>
      </c>
      <c r="G216" s="16">
        <v>69</v>
      </c>
      <c r="H216" s="16">
        <v>60</v>
      </c>
    </row>
    <row r="217" spans="1:8" ht="14">
      <c r="A217" s="3" t="s">
        <v>602</v>
      </c>
      <c r="B217" s="3" t="s">
        <v>2376</v>
      </c>
      <c r="C217" s="3" t="s">
        <v>603</v>
      </c>
      <c r="D217" s="3" t="s">
        <v>604</v>
      </c>
      <c r="E217" s="4">
        <v>105</v>
      </c>
      <c r="F217" s="16">
        <v>130</v>
      </c>
      <c r="G217" s="16">
        <v>75</v>
      </c>
      <c r="H217" s="16">
        <v>60</v>
      </c>
    </row>
    <row r="218" spans="1:8" ht="14">
      <c r="A218" s="3" t="s">
        <v>605</v>
      </c>
      <c r="B218" s="3" t="s">
        <v>2377</v>
      </c>
      <c r="C218" s="3" t="s">
        <v>606</v>
      </c>
      <c r="D218" s="3" t="s">
        <v>607</v>
      </c>
      <c r="E218" s="4">
        <v>90</v>
      </c>
      <c r="F218" s="16">
        <v>135</v>
      </c>
      <c r="G218" s="16">
        <v>60</v>
      </c>
      <c r="H218" s="16">
        <v>100</v>
      </c>
    </row>
    <row r="219" spans="1:8" ht="14">
      <c r="A219" s="3" t="s">
        <v>608</v>
      </c>
      <c r="B219" s="3" t="s">
        <v>2378</v>
      </c>
      <c r="C219" s="3" t="s">
        <v>609</v>
      </c>
      <c r="D219" s="3" t="s">
        <v>609</v>
      </c>
      <c r="E219" s="4">
        <v>125</v>
      </c>
      <c r="F219" s="16">
        <v>190</v>
      </c>
      <c r="G219" s="16">
        <v>110</v>
      </c>
      <c r="H219" s="16">
        <v>100</v>
      </c>
    </row>
    <row r="220" spans="1:8" ht="14">
      <c r="A220" s="3" t="s">
        <v>610</v>
      </c>
      <c r="B220" s="3" t="s">
        <v>2379</v>
      </c>
      <c r="C220" s="3" t="s">
        <v>611</v>
      </c>
      <c r="D220" s="3" t="s">
        <v>612</v>
      </c>
      <c r="E220" s="4">
        <v>198</v>
      </c>
      <c r="F220" s="16">
        <v>300</v>
      </c>
      <c r="G220" s="16">
        <v>158</v>
      </c>
      <c r="H220" s="16">
        <v>170</v>
      </c>
    </row>
    <row r="221" spans="1:8" ht="14">
      <c r="A221" s="3" t="s">
        <v>613</v>
      </c>
      <c r="B221" s="3" t="s">
        <v>2380</v>
      </c>
      <c r="C221" s="3" t="s">
        <v>614</v>
      </c>
      <c r="D221" s="3" t="s">
        <v>615</v>
      </c>
      <c r="E221" s="4">
        <v>182</v>
      </c>
      <c r="F221" s="16">
        <v>300</v>
      </c>
      <c r="G221" s="16">
        <v>170</v>
      </c>
      <c r="H221" s="16">
        <v>170</v>
      </c>
    </row>
    <row r="222" spans="1:8" ht="14">
      <c r="A222" s="3" t="s">
        <v>616</v>
      </c>
      <c r="B222" s="3" t="s">
        <v>2381</v>
      </c>
      <c r="C222" s="3" t="s">
        <v>617</v>
      </c>
      <c r="D222" s="3" t="s">
        <v>618</v>
      </c>
      <c r="E222" s="4">
        <v>273</v>
      </c>
      <c r="F222" s="16">
        <v>200</v>
      </c>
      <c r="G222" s="16">
        <v>164</v>
      </c>
      <c r="H222" s="16">
        <v>150</v>
      </c>
    </row>
    <row r="223" spans="1:8" ht="14">
      <c r="A223" s="3" t="s">
        <v>619</v>
      </c>
      <c r="B223" s="3" t="s">
        <v>2382</v>
      </c>
      <c r="C223" s="3" t="s">
        <v>620</v>
      </c>
      <c r="D223" s="3" t="s">
        <v>621</v>
      </c>
      <c r="E223" s="4">
        <v>182</v>
      </c>
      <c r="F223" s="16">
        <v>230</v>
      </c>
      <c r="G223" s="16">
        <v>163</v>
      </c>
      <c r="H223" s="16">
        <v>120</v>
      </c>
    </row>
    <row r="224" spans="1:8" ht="14">
      <c r="A224" s="3" t="s">
        <v>622</v>
      </c>
      <c r="B224" s="3" t="s">
        <v>2383</v>
      </c>
      <c r="C224" s="3" t="s">
        <v>623</v>
      </c>
      <c r="D224" s="3" t="s">
        <v>624</v>
      </c>
      <c r="E224" s="4">
        <v>182</v>
      </c>
      <c r="F224" s="16">
        <v>200</v>
      </c>
      <c r="G224" s="16">
        <v>152</v>
      </c>
      <c r="H224" s="16">
        <v>120</v>
      </c>
    </row>
    <row r="225" spans="1:8" ht="14">
      <c r="A225" s="3" t="s">
        <v>625</v>
      </c>
      <c r="B225" s="3" t="s">
        <v>2384</v>
      </c>
      <c r="C225" s="3" t="s">
        <v>626</v>
      </c>
      <c r="D225" s="3" t="s">
        <v>627</v>
      </c>
      <c r="E225" s="4">
        <v>447</v>
      </c>
      <c r="F225" s="16">
        <v>600</v>
      </c>
      <c r="G225" s="16">
        <v>380</v>
      </c>
      <c r="H225" s="16">
        <v>450</v>
      </c>
    </row>
    <row r="226" spans="1:8" ht="14">
      <c r="A226" s="3" t="s">
        <v>628</v>
      </c>
      <c r="B226" s="3" t="s">
        <v>2385</v>
      </c>
      <c r="C226" s="3" t="s">
        <v>629</v>
      </c>
      <c r="D226" s="3" t="s">
        <v>629</v>
      </c>
      <c r="E226" s="4">
        <v>233</v>
      </c>
      <c r="F226" s="16">
        <v>320</v>
      </c>
      <c r="G226" s="16">
        <v>217</v>
      </c>
      <c r="H226" s="16">
        <v>200</v>
      </c>
    </row>
    <row r="227" spans="1:8" ht="13.5" customHeight="1">
      <c r="A227" s="3" t="s">
        <v>630</v>
      </c>
      <c r="B227" s="3" t="s">
        <v>2386</v>
      </c>
      <c r="C227" s="3" t="s">
        <v>631</v>
      </c>
      <c r="D227" s="3" t="s">
        <v>632</v>
      </c>
      <c r="E227" s="4">
        <v>338</v>
      </c>
      <c r="F227" s="16">
        <v>300</v>
      </c>
      <c r="G227" s="16">
        <v>270</v>
      </c>
      <c r="H227" s="16">
        <v>170</v>
      </c>
    </row>
    <row r="228" spans="1:8" ht="13.5" customHeight="1">
      <c r="A228" s="3" t="s">
        <v>633</v>
      </c>
      <c r="B228" s="3" t="s">
        <v>2387</v>
      </c>
      <c r="C228" s="3" t="s">
        <v>634</v>
      </c>
      <c r="D228" s="3" t="s">
        <v>635</v>
      </c>
      <c r="E228" s="4">
        <v>310</v>
      </c>
      <c r="F228" s="16">
        <v>350</v>
      </c>
      <c r="G228" s="16">
        <v>280</v>
      </c>
      <c r="H228" s="16">
        <v>200</v>
      </c>
    </row>
    <row r="229" spans="1:8" ht="13.5" customHeight="1">
      <c r="A229" s="3" t="s">
        <v>636</v>
      </c>
      <c r="B229" s="3" t="s">
        <v>2388</v>
      </c>
      <c r="C229" s="3" t="s">
        <v>637</v>
      </c>
      <c r="D229" s="3" t="s">
        <v>638</v>
      </c>
      <c r="E229" s="4">
        <v>325</v>
      </c>
      <c r="F229" s="16">
        <v>350</v>
      </c>
      <c r="G229" s="16">
        <v>290</v>
      </c>
      <c r="H229" s="16">
        <v>200</v>
      </c>
    </row>
    <row r="230" spans="1:8" ht="13.5" customHeight="1">
      <c r="A230" s="3" t="s">
        <v>639</v>
      </c>
      <c r="B230" s="3" t="s">
        <v>2389</v>
      </c>
      <c r="C230" s="3" t="s">
        <v>640</v>
      </c>
      <c r="D230" s="3" t="s">
        <v>641</v>
      </c>
      <c r="E230" s="4">
        <v>365</v>
      </c>
      <c r="F230" s="16">
        <v>547</v>
      </c>
      <c r="G230" s="16">
        <v>320</v>
      </c>
      <c r="H230" s="16">
        <v>160</v>
      </c>
    </row>
    <row r="231" spans="1:8" ht="13.5" customHeight="1">
      <c r="A231" s="3" t="s">
        <v>642</v>
      </c>
      <c r="B231" s="3" t="s">
        <v>2390</v>
      </c>
      <c r="C231" s="7" t="s">
        <v>643</v>
      </c>
      <c r="D231" s="7" t="s">
        <v>643</v>
      </c>
      <c r="E231" s="4">
        <v>105</v>
      </c>
      <c r="F231" s="16">
        <v>150</v>
      </c>
      <c r="G231" s="16">
        <v>90</v>
      </c>
      <c r="H231" s="16">
        <v>90</v>
      </c>
    </row>
    <row r="232" spans="1:8" ht="13.5" customHeight="1">
      <c r="A232" s="3" t="s">
        <v>644</v>
      </c>
      <c r="B232" s="3" t="s">
        <v>2391</v>
      </c>
      <c r="C232" s="7" t="s">
        <v>645</v>
      </c>
      <c r="D232" s="7" t="s">
        <v>646</v>
      </c>
      <c r="E232" s="4">
        <v>300</v>
      </c>
      <c r="F232" s="16">
        <v>300</v>
      </c>
      <c r="G232" s="16">
        <v>260</v>
      </c>
      <c r="H232" s="16">
        <v>250</v>
      </c>
    </row>
    <row r="233" spans="1:8" ht="13.5" customHeight="1">
      <c r="A233" s="3" t="s">
        <v>647</v>
      </c>
      <c r="B233" s="3" t="s">
        <v>2392</v>
      </c>
      <c r="C233" s="7" t="s">
        <v>648</v>
      </c>
      <c r="D233" s="7" t="s">
        <v>648</v>
      </c>
      <c r="E233" s="4">
        <v>340</v>
      </c>
      <c r="F233" s="16">
        <v>500</v>
      </c>
      <c r="G233" s="16">
        <v>310</v>
      </c>
      <c r="H233" s="16">
        <v>300</v>
      </c>
    </row>
    <row r="234" spans="1:8" ht="13.5" customHeight="1">
      <c r="A234" s="3" t="s">
        <v>649</v>
      </c>
      <c r="B234" s="3" t="s">
        <v>2393</v>
      </c>
      <c r="C234" s="7" t="s">
        <v>2581</v>
      </c>
      <c r="D234" s="7" t="s">
        <v>650</v>
      </c>
      <c r="E234" s="4">
        <v>346</v>
      </c>
      <c r="F234" s="16">
        <v>398</v>
      </c>
      <c r="G234" s="16">
        <v>265</v>
      </c>
      <c r="H234" s="16">
        <v>304</v>
      </c>
    </row>
    <row r="235" spans="1:8" ht="13.5" customHeight="1">
      <c r="A235" s="3" t="s">
        <v>651</v>
      </c>
      <c r="B235" s="3" t="s">
        <v>2394</v>
      </c>
      <c r="C235" s="7" t="s">
        <v>652</v>
      </c>
      <c r="D235" s="7" t="s">
        <v>653</v>
      </c>
      <c r="E235" s="4">
        <v>200</v>
      </c>
      <c r="F235" s="16">
        <v>230</v>
      </c>
      <c r="G235" s="16">
        <v>355</v>
      </c>
      <c r="H235" s="16">
        <v>408</v>
      </c>
    </row>
    <row r="236" spans="1:8" ht="13.5" customHeight="1">
      <c r="A236" s="3" t="s">
        <v>654</v>
      </c>
      <c r="B236" s="3" t="s">
        <v>2395</v>
      </c>
      <c r="C236" s="7" t="s">
        <v>2580</v>
      </c>
      <c r="D236" s="7" t="s">
        <v>655</v>
      </c>
      <c r="E236" s="4">
        <f t="shared" ref="E236:E242" si="0">G236+10</f>
        <v>39.5</v>
      </c>
      <c r="F236" s="16">
        <v>45</v>
      </c>
      <c r="G236" s="16">
        <v>29.5</v>
      </c>
      <c r="H236" s="16">
        <v>34</v>
      </c>
    </row>
    <row r="237" spans="1:8" ht="13.5" customHeight="1">
      <c r="A237" s="3" t="s">
        <v>656</v>
      </c>
      <c r="B237" s="3" t="s">
        <v>2396</v>
      </c>
      <c r="C237" s="7" t="s">
        <v>657</v>
      </c>
      <c r="D237" s="7" t="s">
        <v>658</v>
      </c>
      <c r="E237" s="4">
        <f t="shared" si="0"/>
        <v>40</v>
      </c>
      <c r="F237" s="16">
        <v>46</v>
      </c>
      <c r="G237" s="16">
        <v>30</v>
      </c>
      <c r="H237" s="16">
        <v>35</v>
      </c>
    </row>
    <row r="238" spans="1:8" ht="13.5" customHeight="1">
      <c r="A238" s="3" t="s">
        <v>659</v>
      </c>
      <c r="B238" s="3" t="s">
        <v>2397</v>
      </c>
      <c r="C238" s="7" t="s">
        <v>660</v>
      </c>
      <c r="D238" s="7" t="s">
        <v>661</v>
      </c>
      <c r="E238" s="4">
        <f t="shared" si="0"/>
        <v>39.5</v>
      </c>
      <c r="F238" s="16">
        <v>45</v>
      </c>
      <c r="G238" s="16">
        <v>29.5</v>
      </c>
      <c r="H238" s="16">
        <v>34</v>
      </c>
    </row>
    <row r="239" spans="1:8" ht="13.5" customHeight="1">
      <c r="A239" s="3" t="s">
        <v>662</v>
      </c>
      <c r="B239" s="3" t="s">
        <v>2398</v>
      </c>
      <c r="C239" s="7" t="s">
        <v>663</v>
      </c>
      <c r="D239" s="7" t="s">
        <v>664</v>
      </c>
      <c r="E239" s="4">
        <f t="shared" si="0"/>
        <v>38.5</v>
      </c>
      <c r="F239" s="16">
        <v>44</v>
      </c>
      <c r="G239" s="16">
        <v>28.5</v>
      </c>
      <c r="H239" s="16">
        <v>34</v>
      </c>
    </row>
    <row r="240" spans="1:8" ht="13.5" customHeight="1">
      <c r="A240" s="3" t="s">
        <v>665</v>
      </c>
      <c r="B240" s="3" t="s">
        <v>2399</v>
      </c>
      <c r="C240" s="7" t="s">
        <v>666</v>
      </c>
      <c r="D240" s="7" t="s">
        <v>667</v>
      </c>
      <c r="E240" s="4">
        <f t="shared" si="0"/>
        <v>39</v>
      </c>
      <c r="F240" s="16">
        <v>44</v>
      </c>
      <c r="G240" s="16">
        <v>29</v>
      </c>
      <c r="H240" s="16">
        <v>33</v>
      </c>
    </row>
    <row r="241" spans="1:8" ht="13.5" customHeight="1">
      <c r="A241" s="3" t="s">
        <v>668</v>
      </c>
      <c r="B241" s="3" t="s">
        <v>2400</v>
      </c>
      <c r="C241" s="7" t="s">
        <v>669</v>
      </c>
      <c r="D241" s="7" t="s">
        <v>670</v>
      </c>
      <c r="E241" s="4">
        <f t="shared" si="0"/>
        <v>38.5</v>
      </c>
      <c r="F241" s="16">
        <v>44</v>
      </c>
      <c r="G241" s="16">
        <v>28.5</v>
      </c>
      <c r="H241" s="16">
        <v>33</v>
      </c>
    </row>
    <row r="242" spans="1:8" ht="13.5" customHeight="1">
      <c r="A242" s="3" t="s">
        <v>671</v>
      </c>
      <c r="B242" s="3" t="s">
        <v>2401</v>
      </c>
      <c r="C242" s="7" t="s">
        <v>672</v>
      </c>
      <c r="D242" s="7" t="s">
        <v>673</v>
      </c>
      <c r="E242" s="4">
        <f t="shared" si="0"/>
        <v>38.5</v>
      </c>
      <c r="F242" s="16">
        <v>44</v>
      </c>
      <c r="G242" s="16">
        <v>28.5</v>
      </c>
      <c r="H242" s="16">
        <v>33</v>
      </c>
    </row>
    <row r="243" spans="1:8" ht="13.5" customHeight="1">
      <c r="A243" s="3" t="s">
        <v>674</v>
      </c>
      <c r="B243" s="3" t="s">
        <v>2402</v>
      </c>
      <c r="C243" s="7" t="s">
        <v>675</v>
      </c>
      <c r="D243" s="7" t="s">
        <v>676</v>
      </c>
      <c r="E243" s="4">
        <f t="shared" ref="E243" si="1">G243+10</f>
        <v>44</v>
      </c>
      <c r="F243" s="16">
        <v>50</v>
      </c>
      <c r="G243" s="16">
        <v>34</v>
      </c>
      <c r="H243" s="16">
        <v>39</v>
      </c>
    </row>
    <row r="244" spans="1:8" ht="13.5" customHeight="1">
      <c r="A244" s="7" t="s">
        <v>677</v>
      </c>
      <c r="B244" s="3" t="s">
        <v>2403</v>
      </c>
      <c r="C244" s="3" t="s">
        <v>678</v>
      </c>
      <c r="D244" s="3" t="s">
        <v>679</v>
      </c>
      <c r="E244" s="4"/>
      <c r="F244" s="16">
        <v>178</v>
      </c>
      <c r="H244" s="16">
        <v>85</v>
      </c>
    </row>
    <row r="245" spans="1:8" ht="13.5" customHeight="1">
      <c r="A245" s="7" t="s">
        <v>680</v>
      </c>
      <c r="B245" s="3" t="s">
        <v>2404</v>
      </c>
      <c r="C245" s="3" t="s">
        <v>681</v>
      </c>
      <c r="D245" s="3" t="s">
        <v>681</v>
      </c>
      <c r="E245" s="4"/>
      <c r="F245" s="16">
        <v>1300</v>
      </c>
      <c r="H245" s="16">
        <v>500</v>
      </c>
    </row>
    <row r="246" spans="1:8" ht="13.5" customHeight="1">
      <c r="A246" s="7" t="s">
        <v>682</v>
      </c>
      <c r="B246" s="3" t="s">
        <v>2405</v>
      </c>
      <c r="C246" s="3" t="s">
        <v>683</v>
      </c>
      <c r="D246" s="3" t="s">
        <v>684</v>
      </c>
      <c r="E246" s="4"/>
      <c r="F246" s="16">
        <v>100</v>
      </c>
      <c r="H246" s="16">
        <v>70</v>
      </c>
    </row>
    <row r="247" spans="1:8" ht="13.5" customHeight="1">
      <c r="A247" s="7" t="s">
        <v>685</v>
      </c>
      <c r="B247" s="3" t="s">
        <v>2406</v>
      </c>
      <c r="C247" s="3" t="s">
        <v>686</v>
      </c>
      <c r="D247" s="3" t="s">
        <v>687</v>
      </c>
      <c r="E247" s="4"/>
      <c r="F247" s="16">
        <v>200</v>
      </c>
      <c r="H247" s="16">
        <v>90</v>
      </c>
    </row>
    <row r="248" spans="1:8" ht="13.5" customHeight="1">
      <c r="A248" s="7" t="s">
        <v>688</v>
      </c>
      <c r="B248" s="3" t="s">
        <v>2407</v>
      </c>
      <c r="C248" s="3" t="s">
        <v>689</v>
      </c>
      <c r="D248" s="3" t="s">
        <v>690</v>
      </c>
      <c r="E248" s="4"/>
      <c r="F248" s="16">
        <v>380</v>
      </c>
      <c r="H248" s="16">
        <v>180</v>
      </c>
    </row>
    <row r="249" spans="1:8" ht="13.5" customHeight="1">
      <c r="A249" s="7" t="s">
        <v>691</v>
      </c>
      <c r="B249" s="3" t="s">
        <v>2408</v>
      </c>
      <c r="C249" s="3" t="s">
        <v>692</v>
      </c>
      <c r="D249" s="3" t="s">
        <v>693</v>
      </c>
      <c r="E249" s="4"/>
      <c r="F249" s="16">
        <v>520</v>
      </c>
      <c r="H249" s="16">
        <v>210</v>
      </c>
    </row>
    <row r="250" spans="1:8" ht="13.5" customHeight="1">
      <c r="A250" s="7" t="s">
        <v>694</v>
      </c>
      <c r="B250" s="3" t="s">
        <v>2409</v>
      </c>
      <c r="C250" s="3" t="s">
        <v>695</v>
      </c>
      <c r="D250" s="3" t="s">
        <v>696</v>
      </c>
      <c r="E250" s="4"/>
      <c r="F250" s="16">
        <v>430</v>
      </c>
      <c r="H250" s="16">
        <v>180</v>
      </c>
    </row>
    <row r="251" spans="1:8" ht="13.5" customHeight="1">
      <c r="A251" s="7" t="s">
        <v>697</v>
      </c>
      <c r="B251" s="3" t="s">
        <v>2410</v>
      </c>
      <c r="C251" s="10" t="s">
        <v>698</v>
      </c>
      <c r="D251" s="3" t="s">
        <v>699</v>
      </c>
      <c r="E251" s="4"/>
      <c r="F251" s="16">
        <v>135</v>
      </c>
      <c r="H251" s="16">
        <v>60</v>
      </c>
    </row>
    <row r="252" spans="1:8" ht="13.5" customHeight="1">
      <c r="A252" s="7" t="s">
        <v>700</v>
      </c>
      <c r="B252" s="3" t="s">
        <v>2411</v>
      </c>
      <c r="C252" s="3" t="s">
        <v>701</v>
      </c>
      <c r="D252" s="3" t="s">
        <v>702</v>
      </c>
      <c r="E252" s="4"/>
      <c r="F252" s="16">
        <v>290</v>
      </c>
      <c r="H252" s="16">
        <v>140</v>
      </c>
    </row>
    <row r="253" spans="1:8" ht="13.5" customHeight="1">
      <c r="A253" s="7" t="s">
        <v>703</v>
      </c>
      <c r="B253" s="3" t="s">
        <v>2412</v>
      </c>
      <c r="C253" s="3" t="s">
        <v>704</v>
      </c>
      <c r="D253" s="3" t="s">
        <v>705</v>
      </c>
      <c r="F253" s="16">
        <v>360</v>
      </c>
      <c r="H253" s="16">
        <v>120</v>
      </c>
    </row>
    <row r="254" spans="1:8" ht="13.5" customHeight="1">
      <c r="A254" s="7" t="s">
        <v>706</v>
      </c>
      <c r="B254" s="3" t="s">
        <v>2413</v>
      </c>
      <c r="C254" s="3" t="s">
        <v>707</v>
      </c>
      <c r="D254" s="3" t="s">
        <v>708</v>
      </c>
      <c r="F254" s="16">
        <v>500</v>
      </c>
      <c r="H254" s="16">
        <v>160</v>
      </c>
    </row>
    <row r="255" spans="1:8" ht="13.5" customHeight="1">
      <c r="A255" s="7" t="s">
        <v>709</v>
      </c>
      <c r="B255" s="3" t="s">
        <v>2414</v>
      </c>
      <c r="C255" s="3" t="s">
        <v>710</v>
      </c>
      <c r="D255" s="3" t="s">
        <v>711</v>
      </c>
      <c r="F255" s="16">
        <v>410</v>
      </c>
      <c r="H255" s="16">
        <v>130</v>
      </c>
    </row>
    <row r="256" spans="1:8" ht="13" customHeight="1">
      <c r="A256" s="7" t="s">
        <v>712</v>
      </c>
      <c r="B256" s="3" t="s">
        <v>2415</v>
      </c>
      <c r="C256" s="3" t="s">
        <v>713</v>
      </c>
      <c r="D256" s="3" t="s">
        <v>714</v>
      </c>
      <c r="F256" s="16">
        <v>320</v>
      </c>
      <c r="H256" s="16">
        <v>107</v>
      </c>
    </row>
    <row r="257" spans="1:8" ht="13.5" customHeight="1">
      <c r="A257" s="7" t="s">
        <v>715</v>
      </c>
      <c r="B257" s="3" t="s">
        <v>2416</v>
      </c>
      <c r="C257" s="3" t="s">
        <v>716</v>
      </c>
      <c r="D257" s="3" t="s">
        <v>717</v>
      </c>
      <c r="F257" s="16">
        <v>285</v>
      </c>
      <c r="H257" s="16">
        <v>95</v>
      </c>
    </row>
    <row r="258" spans="1:8" ht="13.5" customHeight="1">
      <c r="A258" s="7" t="s">
        <v>718</v>
      </c>
      <c r="B258" s="3" t="s">
        <v>2417</v>
      </c>
      <c r="C258" s="3" t="s">
        <v>719</v>
      </c>
      <c r="D258" s="3" t="s">
        <v>720</v>
      </c>
      <c r="F258" s="16">
        <v>354</v>
      </c>
      <c r="H258" s="16">
        <v>118</v>
      </c>
    </row>
    <row r="259" spans="1:8" ht="13.5" customHeight="1">
      <c r="A259" s="7" t="s">
        <v>721</v>
      </c>
      <c r="B259" s="3" t="s">
        <v>2418</v>
      </c>
      <c r="C259" s="3" t="s">
        <v>722</v>
      </c>
      <c r="D259" s="3" t="s">
        <v>723</v>
      </c>
      <c r="F259" s="16">
        <v>350</v>
      </c>
      <c r="H259" s="16">
        <v>120</v>
      </c>
    </row>
    <row r="260" spans="1:8" ht="13.5" customHeight="1">
      <c r="A260" s="7" t="s">
        <v>724</v>
      </c>
      <c r="B260" s="3" t="s">
        <v>2419</v>
      </c>
      <c r="C260" s="3" t="s">
        <v>725</v>
      </c>
      <c r="D260" s="3" t="s">
        <v>726</v>
      </c>
      <c r="F260" s="16">
        <v>200</v>
      </c>
      <c r="H260" s="16">
        <v>100</v>
      </c>
    </row>
    <row r="261" spans="1:8" ht="13.5" customHeight="1">
      <c r="A261" s="7" t="s">
        <v>727</v>
      </c>
      <c r="B261" s="3" t="s">
        <v>2420</v>
      </c>
      <c r="C261" s="3" t="s">
        <v>728</v>
      </c>
      <c r="D261" s="3" t="s">
        <v>728</v>
      </c>
      <c r="F261" s="16">
        <v>400</v>
      </c>
      <c r="H261" s="16">
        <v>250</v>
      </c>
    </row>
    <row r="262" spans="1:8" ht="13.5" customHeight="1">
      <c r="A262" s="7" t="s">
        <v>729</v>
      </c>
      <c r="B262" s="3" t="s">
        <v>2421</v>
      </c>
      <c r="C262" s="3" t="s">
        <v>730</v>
      </c>
      <c r="D262" s="3" t="s">
        <v>731</v>
      </c>
      <c r="F262" s="16">
        <v>339</v>
      </c>
      <c r="H262" s="16">
        <v>276</v>
      </c>
    </row>
    <row r="263" spans="1:8" ht="13.5" customHeight="1">
      <c r="A263" s="7" t="s">
        <v>732</v>
      </c>
      <c r="B263" s="3" t="s">
        <v>2422</v>
      </c>
      <c r="C263" s="3" t="s">
        <v>733</v>
      </c>
      <c r="D263" s="3" t="s">
        <v>734</v>
      </c>
      <c r="F263" s="16">
        <v>747</v>
      </c>
      <c r="H263" s="16">
        <v>563</v>
      </c>
    </row>
    <row r="264" spans="1:8" ht="13.5" customHeight="1">
      <c r="A264" s="7" t="s">
        <v>735</v>
      </c>
      <c r="B264" s="3" t="s">
        <v>2423</v>
      </c>
      <c r="C264" s="3" t="s">
        <v>736</v>
      </c>
      <c r="D264" s="3" t="s">
        <v>737</v>
      </c>
      <c r="F264" s="16">
        <v>161</v>
      </c>
      <c r="H264" s="16">
        <v>120</v>
      </c>
    </row>
    <row r="265" spans="1:8" ht="13.5" customHeight="1">
      <c r="A265" s="7" t="s">
        <v>738</v>
      </c>
      <c r="B265" s="3" t="s">
        <v>2424</v>
      </c>
      <c r="C265" s="3" t="s">
        <v>739</v>
      </c>
      <c r="D265" s="3" t="s">
        <v>740</v>
      </c>
      <c r="F265" s="16">
        <v>276</v>
      </c>
      <c r="H265" s="16">
        <v>212</v>
      </c>
    </row>
    <row r="266" spans="1:8" ht="13.5" customHeight="1">
      <c r="A266" s="7" t="s">
        <v>741</v>
      </c>
      <c r="B266" s="3" t="s">
        <v>2425</v>
      </c>
      <c r="C266" s="3" t="s">
        <v>742</v>
      </c>
      <c r="D266" s="3" t="s">
        <v>743</v>
      </c>
      <c r="F266" s="16">
        <v>299</v>
      </c>
      <c r="H266" s="16">
        <v>253</v>
      </c>
    </row>
    <row r="267" spans="1:8" ht="13.5" customHeight="1">
      <c r="A267" s="7" t="s">
        <v>744</v>
      </c>
      <c r="B267" s="3" t="s">
        <v>2426</v>
      </c>
      <c r="C267" s="3" t="s">
        <v>745</v>
      </c>
      <c r="D267" s="3" t="s">
        <v>746</v>
      </c>
      <c r="F267" s="16">
        <v>400</v>
      </c>
      <c r="G267" s="16">
        <v>310.5</v>
      </c>
      <c r="H267" s="16">
        <v>270</v>
      </c>
    </row>
    <row r="268" spans="1:8" ht="13.5" customHeight="1">
      <c r="A268" s="7" t="s">
        <v>747</v>
      </c>
      <c r="B268" s="3" t="s">
        <v>2427</v>
      </c>
      <c r="C268" s="3" t="s">
        <v>748</v>
      </c>
      <c r="D268" s="3" t="s">
        <v>748</v>
      </c>
      <c r="F268" s="16">
        <v>150</v>
      </c>
      <c r="G268" s="16">
        <v>143.75</v>
      </c>
      <c r="H268" s="16">
        <v>125</v>
      </c>
    </row>
    <row r="269" spans="1:8" ht="13.5" customHeight="1">
      <c r="A269" s="7" t="s">
        <v>749</v>
      </c>
      <c r="B269" s="3" t="s">
        <v>2428</v>
      </c>
      <c r="C269" s="3" t="s">
        <v>750</v>
      </c>
      <c r="D269" s="3" t="s">
        <v>750</v>
      </c>
      <c r="F269" s="16">
        <v>178</v>
      </c>
      <c r="G269" s="16">
        <v>120.75</v>
      </c>
      <c r="H269" s="16">
        <v>105</v>
      </c>
    </row>
    <row r="270" spans="1:8" ht="13.5" customHeight="1">
      <c r="A270" s="7" t="s">
        <v>751</v>
      </c>
      <c r="B270" s="3" t="s">
        <v>2429</v>
      </c>
      <c r="C270" s="3" t="s">
        <v>752</v>
      </c>
      <c r="D270" s="3" t="s">
        <v>752</v>
      </c>
      <c r="F270" s="16">
        <v>506</v>
      </c>
      <c r="G270" s="16">
        <v>414</v>
      </c>
      <c r="H270" s="16">
        <v>360</v>
      </c>
    </row>
    <row r="271" spans="1:8" ht="13.5" customHeight="1">
      <c r="A271" s="7" t="s">
        <v>753</v>
      </c>
      <c r="B271" s="3" t="s">
        <v>2430</v>
      </c>
      <c r="C271" s="3" t="s">
        <v>754</v>
      </c>
      <c r="D271" s="3" t="s">
        <v>754</v>
      </c>
      <c r="F271" s="16">
        <v>224</v>
      </c>
      <c r="G271" s="16">
        <v>217.35</v>
      </c>
      <c r="H271" s="16">
        <v>189</v>
      </c>
    </row>
    <row r="272" spans="1:8" ht="13.5" customHeight="1">
      <c r="A272" s="7" t="s">
        <v>755</v>
      </c>
      <c r="B272" s="3" t="s">
        <v>2431</v>
      </c>
      <c r="C272" s="3" t="s">
        <v>756</v>
      </c>
      <c r="D272" s="3" t="s">
        <v>756</v>
      </c>
      <c r="F272" s="16">
        <v>343</v>
      </c>
      <c r="G272" s="16">
        <v>304.75</v>
      </c>
      <c r="H272" s="16">
        <v>265</v>
      </c>
    </row>
    <row r="273" spans="1:8" ht="13.5" customHeight="1">
      <c r="A273" s="7" t="s">
        <v>757</v>
      </c>
      <c r="B273" s="3" t="s">
        <v>2432</v>
      </c>
      <c r="C273" s="3" t="s">
        <v>758</v>
      </c>
      <c r="D273" s="3" t="s">
        <v>759</v>
      </c>
      <c r="F273" s="16">
        <v>60</v>
      </c>
      <c r="H273" s="16">
        <v>150</v>
      </c>
    </row>
    <row r="274" spans="1:8" ht="13.5" customHeight="1">
      <c r="A274" s="7" t="s">
        <v>760</v>
      </c>
      <c r="B274" s="3" t="s">
        <v>2433</v>
      </c>
      <c r="C274" s="3" t="s">
        <v>761</v>
      </c>
      <c r="D274" s="3" t="s">
        <v>761</v>
      </c>
      <c r="F274" s="16">
        <v>300</v>
      </c>
      <c r="G274" s="16">
        <v>170</v>
      </c>
      <c r="H274" s="16">
        <v>300</v>
      </c>
    </row>
    <row r="275" spans="1:8" ht="13.5" customHeight="1">
      <c r="A275" s="7" t="s">
        <v>762</v>
      </c>
      <c r="B275" s="3" t="s">
        <v>2434</v>
      </c>
      <c r="C275" s="3" t="s">
        <v>763</v>
      </c>
      <c r="D275" s="3" t="s">
        <v>763</v>
      </c>
      <c r="F275" s="16">
        <v>205</v>
      </c>
      <c r="H275" s="16">
        <v>156</v>
      </c>
    </row>
    <row r="276" spans="1:8" ht="13.5" customHeight="1">
      <c r="A276" s="7" t="s">
        <v>764</v>
      </c>
      <c r="B276" s="3" t="s">
        <v>2435</v>
      </c>
      <c r="C276" s="3" t="s">
        <v>765</v>
      </c>
      <c r="D276" s="3" t="s">
        <v>765</v>
      </c>
      <c r="F276" s="16">
        <v>330</v>
      </c>
      <c r="H276" s="16">
        <v>270</v>
      </c>
    </row>
    <row r="277" spans="1:8" ht="13.5" customHeight="1">
      <c r="A277" s="7" t="s">
        <v>766</v>
      </c>
      <c r="B277" s="3" t="s">
        <v>2436</v>
      </c>
      <c r="C277" s="3" t="s">
        <v>767</v>
      </c>
      <c r="D277" s="3" t="s">
        <v>767</v>
      </c>
      <c r="F277" s="16">
        <v>265</v>
      </c>
      <c r="H277" s="16">
        <v>182</v>
      </c>
    </row>
    <row r="278" spans="1:8" ht="13.5" customHeight="1">
      <c r="A278" s="7" t="s">
        <v>768</v>
      </c>
      <c r="B278" s="3" t="s">
        <v>2437</v>
      </c>
      <c r="C278" s="3" t="s">
        <v>769</v>
      </c>
      <c r="D278" s="3" t="s">
        <v>769</v>
      </c>
      <c r="F278" s="16">
        <v>475</v>
      </c>
      <c r="H278" s="16">
        <v>404</v>
      </c>
    </row>
    <row r="279" spans="1:8" ht="13.5" customHeight="1">
      <c r="A279" s="7" t="s">
        <v>770</v>
      </c>
      <c r="B279" s="3" t="s">
        <v>2438</v>
      </c>
      <c r="C279" s="3" t="s">
        <v>771</v>
      </c>
      <c r="D279" s="3" t="s">
        <v>771</v>
      </c>
      <c r="F279" s="16">
        <v>405</v>
      </c>
      <c r="H279" s="16">
        <v>330</v>
      </c>
    </row>
    <row r="280" spans="1:8" ht="13.5" customHeight="1">
      <c r="A280" s="7" t="s">
        <v>772</v>
      </c>
      <c r="B280" s="3" t="s">
        <v>2439</v>
      </c>
      <c r="C280" s="3" t="s">
        <v>773</v>
      </c>
      <c r="D280" s="3" t="s">
        <v>773</v>
      </c>
      <c r="F280" s="16">
        <v>400</v>
      </c>
      <c r="H280" s="16">
        <v>355</v>
      </c>
    </row>
    <row r="281" spans="1:8" ht="13.5" customHeight="1">
      <c r="A281" s="7" t="s">
        <v>774</v>
      </c>
      <c r="B281" s="3" t="s">
        <v>2440</v>
      </c>
      <c r="C281" s="3" t="s">
        <v>775</v>
      </c>
      <c r="D281" s="3" t="s">
        <v>776</v>
      </c>
      <c r="F281" s="16">
        <f>425*2</f>
        <v>850</v>
      </c>
      <c r="H281" s="16">
        <f>375*2</f>
        <v>750</v>
      </c>
    </row>
    <row r="282" spans="1:8" ht="13.5" customHeight="1">
      <c r="A282" s="7" t="s">
        <v>777</v>
      </c>
      <c r="B282" s="3" t="s">
        <v>2441</v>
      </c>
      <c r="C282" s="3" t="s">
        <v>778</v>
      </c>
      <c r="D282" s="3" t="s">
        <v>779</v>
      </c>
      <c r="F282" s="16">
        <f>940*2</f>
        <v>1880</v>
      </c>
      <c r="H282" s="16">
        <f>884*2</f>
        <v>1768</v>
      </c>
    </row>
    <row r="283" spans="1:8" ht="13.5" customHeight="1">
      <c r="A283" s="7" t="s">
        <v>780</v>
      </c>
      <c r="B283" s="3" t="s">
        <v>2442</v>
      </c>
      <c r="C283" s="3" t="s">
        <v>781</v>
      </c>
      <c r="D283" s="3" t="s">
        <v>781</v>
      </c>
      <c r="F283" s="16">
        <v>300</v>
      </c>
      <c r="H283" s="16">
        <v>195</v>
      </c>
    </row>
    <row r="284" spans="1:8" ht="13.5" customHeight="1">
      <c r="A284" s="7" t="s">
        <v>782</v>
      </c>
      <c r="B284" s="3" t="s">
        <v>2443</v>
      </c>
      <c r="C284" s="3" t="s">
        <v>783</v>
      </c>
      <c r="D284" s="3" t="s">
        <v>784</v>
      </c>
      <c r="F284" s="16">
        <f>400*2</f>
        <v>800</v>
      </c>
      <c r="H284" s="16">
        <f>265*2</f>
        <v>530</v>
      </c>
    </row>
    <row r="285" spans="1:8" ht="13.5" customHeight="1">
      <c r="A285" s="7" t="s">
        <v>785</v>
      </c>
      <c r="B285" s="3" t="s">
        <v>2444</v>
      </c>
      <c r="C285" s="3" t="s">
        <v>786</v>
      </c>
      <c r="D285" s="3" t="s">
        <v>786</v>
      </c>
      <c r="F285" s="16">
        <v>400</v>
      </c>
      <c r="H285" s="16">
        <v>304</v>
      </c>
    </row>
    <row r="286" spans="1:8" ht="13.5" customHeight="1">
      <c r="A286" s="7" t="s">
        <v>787</v>
      </c>
      <c r="B286" s="3" t="s">
        <v>2445</v>
      </c>
      <c r="C286" s="3" t="s">
        <v>788</v>
      </c>
      <c r="D286" s="3" t="s">
        <v>789</v>
      </c>
      <c r="F286" s="16">
        <f>510*2</f>
        <v>1020</v>
      </c>
      <c r="H286" s="16">
        <f>465*2</f>
        <v>930</v>
      </c>
    </row>
    <row r="287" spans="1:8" ht="13.5" customHeight="1">
      <c r="A287" s="7" t="s">
        <v>790</v>
      </c>
      <c r="B287" s="3" t="s">
        <v>2446</v>
      </c>
      <c r="C287" s="13" t="s">
        <v>791</v>
      </c>
      <c r="D287" s="13" t="s">
        <v>791</v>
      </c>
      <c r="F287" s="16">
        <v>700</v>
      </c>
      <c r="H287" s="16">
        <v>500</v>
      </c>
    </row>
    <row r="288" spans="1:8" ht="13.5" customHeight="1">
      <c r="A288" s="7" t="s">
        <v>792</v>
      </c>
      <c r="B288" s="3" t="s">
        <v>2447</v>
      </c>
      <c r="C288" s="3" t="s">
        <v>793</v>
      </c>
      <c r="D288" s="3" t="s">
        <v>793</v>
      </c>
      <c r="F288" s="16">
        <v>300</v>
      </c>
      <c r="H288" s="16">
        <v>60</v>
      </c>
    </row>
    <row r="289" spans="1:8" ht="13.5" customHeight="1">
      <c r="A289" s="7" t="s">
        <v>794</v>
      </c>
      <c r="B289" s="3" t="s">
        <v>2448</v>
      </c>
      <c r="C289" s="14" t="s">
        <v>795</v>
      </c>
      <c r="D289" s="14" t="s">
        <v>796</v>
      </c>
      <c r="F289" s="16">
        <v>500</v>
      </c>
      <c r="H289" s="16">
        <v>400</v>
      </c>
    </row>
    <row r="290" spans="1:8" ht="13.5" customHeight="1">
      <c r="A290" s="7" t="s">
        <v>797</v>
      </c>
      <c r="B290" s="3" t="s">
        <v>2449</v>
      </c>
      <c r="C290" s="14" t="s">
        <v>795</v>
      </c>
      <c r="D290" s="14" t="s">
        <v>796</v>
      </c>
      <c r="F290" s="16">
        <v>500</v>
      </c>
      <c r="H290" s="16">
        <v>400</v>
      </c>
    </row>
    <row r="291" spans="1:8" ht="13.5" customHeight="1">
      <c r="A291" s="7" t="s">
        <v>798</v>
      </c>
      <c r="B291" s="3" t="s">
        <v>2450</v>
      </c>
      <c r="C291" s="3" t="s">
        <v>799</v>
      </c>
      <c r="D291" s="3" t="s">
        <v>799</v>
      </c>
      <c r="F291" s="16">
        <v>500</v>
      </c>
      <c r="H291" s="16">
        <v>230</v>
      </c>
    </row>
    <row r="292" spans="1:8" ht="13.5" customHeight="1">
      <c r="A292" s="7" t="s">
        <v>800</v>
      </c>
      <c r="B292" s="3" t="s">
        <v>2451</v>
      </c>
      <c r="C292" s="3" t="s">
        <v>801</v>
      </c>
      <c r="D292" s="3" t="s">
        <v>802</v>
      </c>
      <c r="F292" s="16">
        <v>80</v>
      </c>
      <c r="H292" s="16">
        <v>50</v>
      </c>
    </row>
    <row r="293" spans="1:8" ht="13.5" customHeight="1">
      <c r="A293" s="7" t="s">
        <v>803</v>
      </c>
      <c r="B293" s="3" t="s">
        <v>2452</v>
      </c>
      <c r="C293" s="3" t="s">
        <v>804</v>
      </c>
      <c r="D293" s="3" t="s">
        <v>805</v>
      </c>
      <c r="F293" s="16">
        <v>300</v>
      </c>
      <c r="H293" s="16">
        <v>180</v>
      </c>
    </row>
    <row r="294" spans="1:8" ht="13.5" customHeight="1">
      <c r="A294" s="7" t="s">
        <v>806</v>
      </c>
      <c r="B294" s="3" t="s">
        <v>2453</v>
      </c>
      <c r="C294" s="3" t="s">
        <v>807</v>
      </c>
      <c r="D294" s="3" t="s">
        <v>808</v>
      </c>
      <c r="F294" s="16">
        <v>600</v>
      </c>
      <c r="H294" s="16">
        <v>450</v>
      </c>
    </row>
    <row r="295" spans="1:8" ht="13.5" customHeight="1">
      <c r="A295" s="7" t="s">
        <v>809</v>
      </c>
      <c r="B295" s="3" t="s">
        <v>2454</v>
      </c>
      <c r="C295" s="3" t="s">
        <v>810</v>
      </c>
      <c r="D295" s="3" t="s">
        <v>811</v>
      </c>
      <c r="F295" s="16">
        <v>400</v>
      </c>
      <c r="H295" s="16">
        <v>300</v>
      </c>
    </row>
    <row r="296" spans="1:8" ht="13.5" customHeight="1">
      <c r="A296" s="7" t="s">
        <v>812</v>
      </c>
      <c r="B296" s="3" t="s">
        <v>2455</v>
      </c>
      <c r="C296" s="3" t="s">
        <v>813</v>
      </c>
      <c r="D296" s="3" t="s">
        <v>814</v>
      </c>
      <c r="F296" s="16">
        <v>400</v>
      </c>
      <c r="H296" s="16">
        <v>300</v>
      </c>
    </row>
    <row r="297" spans="1:8" ht="13.5" customHeight="1">
      <c r="A297" s="7" t="s">
        <v>815</v>
      </c>
      <c r="B297" s="3" t="s">
        <v>2456</v>
      </c>
      <c r="C297" s="3" t="s">
        <v>816</v>
      </c>
      <c r="D297" s="3" t="s">
        <v>817</v>
      </c>
      <c r="F297" s="16">
        <f>300*2</f>
        <v>600</v>
      </c>
      <c r="H297" s="16">
        <f>210*2</f>
        <v>420</v>
      </c>
    </row>
    <row r="298" spans="1:8" ht="13.5" customHeight="1">
      <c r="A298" s="7" t="s">
        <v>818</v>
      </c>
      <c r="B298" s="3" t="s">
        <v>2457</v>
      </c>
      <c r="C298" s="3" t="s">
        <v>819</v>
      </c>
      <c r="D298" s="3" t="s">
        <v>820</v>
      </c>
      <c r="F298" s="16">
        <v>400</v>
      </c>
      <c r="H298" s="16">
        <v>300</v>
      </c>
    </row>
    <row r="299" spans="1:8" ht="13.5" customHeight="1">
      <c r="A299" s="7" t="s">
        <v>821</v>
      </c>
      <c r="B299" s="3" t="s">
        <v>2458</v>
      </c>
      <c r="C299" s="3" t="s">
        <v>822</v>
      </c>
      <c r="D299" s="3" t="s">
        <v>822</v>
      </c>
      <c r="F299" s="16">
        <f>190*2</f>
        <v>380</v>
      </c>
      <c r="H299" s="16">
        <f>90*2</f>
        <v>180</v>
      </c>
    </row>
    <row r="300" spans="1:8" ht="13.5" customHeight="1">
      <c r="A300" s="7" t="s">
        <v>823</v>
      </c>
      <c r="B300" s="3" t="s">
        <v>2459</v>
      </c>
      <c r="C300" s="3" t="s">
        <v>824</v>
      </c>
      <c r="D300" s="3" t="s">
        <v>824</v>
      </c>
      <c r="F300" s="16">
        <v>350</v>
      </c>
      <c r="H300" s="16">
        <v>210</v>
      </c>
    </row>
    <row r="301" spans="1:8" ht="13.5" customHeight="1">
      <c r="A301" s="7" t="s">
        <v>825</v>
      </c>
      <c r="B301" s="3" t="s">
        <v>2460</v>
      </c>
      <c r="C301" s="3" t="s">
        <v>826</v>
      </c>
      <c r="D301" s="3" t="s">
        <v>826</v>
      </c>
      <c r="F301" s="16">
        <v>300</v>
      </c>
      <c r="H301" s="16">
        <v>180</v>
      </c>
    </row>
    <row r="302" spans="1:8" ht="13.5" customHeight="1">
      <c r="A302" s="7" t="s">
        <v>827</v>
      </c>
      <c r="B302" s="3" t="s">
        <v>2461</v>
      </c>
      <c r="C302" s="3" t="s">
        <v>828</v>
      </c>
      <c r="D302" s="3" t="s">
        <v>829</v>
      </c>
      <c r="F302" s="16">
        <f>400*2</f>
        <v>800</v>
      </c>
      <c r="H302" s="16">
        <f>300*2</f>
        <v>600</v>
      </c>
    </row>
    <row r="303" spans="1:8" ht="13.5" customHeight="1">
      <c r="A303" s="7" t="s">
        <v>830</v>
      </c>
      <c r="B303" s="3" t="s">
        <v>2462</v>
      </c>
      <c r="C303" s="3" t="s">
        <v>831</v>
      </c>
      <c r="D303" s="3" t="s">
        <v>831</v>
      </c>
      <c r="F303" s="16">
        <v>400</v>
      </c>
      <c r="H303" s="16">
        <v>260</v>
      </c>
    </row>
    <row r="304" spans="1:8" ht="13.5" customHeight="1">
      <c r="A304" s="7" t="s">
        <v>832</v>
      </c>
      <c r="B304" s="3" t="s">
        <v>2463</v>
      </c>
      <c r="C304" s="3" t="s">
        <v>833</v>
      </c>
      <c r="D304" s="3" t="s">
        <v>833</v>
      </c>
      <c r="F304" s="16">
        <v>200</v>
      </c>
      <c r="H304" s="16">
        <v>130</v>
      </c>
    </row>
    <row r="305" spans="1:8" ht="13.5" customHeight="1">
      <c r="A305" s="7" t="s">
        <v>834</v>
      </c>
      <c r="B305" s="3" t="s">
        <v>2464</v>
      </c>
      <c r="C305" s="3" t="s">
        <v>835</v>
      </c>
      <c r="D305" s="3" t="s">
        <v>835</v>
      </c>
      <c r="F305" s="16">
        <v>200</v>
      </c>
      <c r="H305" s="16">
        <v>150</v>
      </c>
    </row>
    <row r="306" spans="1:8" ht="13.5" customHeight="1">
      <c r="A306" s="7" t="s">
        <v>836</v>
      </c>
      <c r="B306" s="3" t="s">
        <v>2465</v>
      </c>
      <c r="C306" s="3" t="s">
        <v>837</v>
      </c>
      <c r="D306" s="3" t="s">
        <v>837</v>
      </c>
      <c r="F306" s="16">
        <v>200</v>
      </c>
      <c r="H306" s="16">
        <v>130</v>
      </c>
    </row>
    <row r="307" spans="1:8" ht="13.5" customHeight="1">
      <c r="A307" s="7" t="s">
        <v>838</v>
      </c>
      <c r="B307" s="3" t="s">
        <v>2466</v>
      </c>
      <c r="C307" s="3" t="s">
        <v>839</v>
      </c>
      <c r="D307" s="3" t="s">
        <v>840</v>
      </c>
      <c r="F307" s="16">
        <v>280</v>
      </c>
      <c r="H307" s="16">
        <v>200</v>
      </c>
    </row>
    <row r="308" spans="1:8" ht="13.5" customHeight="1">
      <c r="A308" s="7" t="s">
        <v>841</v>
      </c>
      <c r="B308" s="3" t="s">
        <v>2467</v>
      </c>
      <c r="C308" s="3" t="s">
        <v>842</v>
      </c>
      <c r="D308" s="3" t="s">
        <v>842</v>
      </c>
      <c r="F308" s="16">
        <f>280*2</f>
        <v>560</v>
      </c>
      <c r="H308" s="16">
        <f>120*2</f>
        <v>240</v>
      </c>
    </row>
    <row r="309" spans="1:8" ht="13.5" customHeight="1">
      <c r="A309" s="7" t="s">
        <v>843</v>
      </c>
      <c r="B309" s="3" t="s">
        <v>2468</v>
      </c>
      <c r="C309" s="3" t="s">
        <v>844</v>
      </c>
      <c r="D309" s="3" t="s">
        <v>845</v>
      </c>
      <c r="F309" s="16">
        <v>250</v>
      </c>
      <c r="H309" s="16">
        <v>150</v>
      </c>
    </row>
    <row r="310" spans="1:8" ht="13.5" customHeight="1">
      <c r="A310" s="7" t="s">
        <v>846</v>
      </c>
      <c r="B310" s="3" t="s">
        <v>2469</v>
      </c>
      <c r="C310" s="3" t="s">
        <v>847</v>
      </c>
      <c r="D310" s="3" t="s">
        <v>847</v>
      </c>
      <c r="F310" s="16">
        <v>750</v>
      </c>
      <c r="H310" s="16">
        <v>650</v>
      </c>
    </row>
    <row r="311" spans="1:8" ht="13.5" customHeight="1">
      <c r="A311" s="7" t="s">
        <v>848</v>
      </c>
      <c r="B311" s="3" t="s">
        <v>2470</v>
      </c>
      <c r="C311" s="3" t="s">
        <v>849</v>
      </c>
      <c r="D311" s="3" t="s">
        <v>849</v>
      </c>
      <c r="F311" s="16">
        <v>500</v>
      </c>
      <c r="H311" s="16">
        <v>300</v>
      </c>
    </row>
    <row r="312" spans="1:8" ht="13.5" customHeight="1">
      <c r="A312" s="7" t="s">
        <v>850</v>
      </c>
      <c r="B312" s="3" t="s">
        <v>2471</v>
      </c>
      <c r="C312" s="3" t="s">
        <v>851</v>
      </c>
      <c r="D312" s="3" t="s">
        <v>851</v>
      </c>
      <c r="F312" s="16">
        <v>500</v>
      </c>
      <c r="H312" s="16">
        <v>350</v>
      </c>
    </row>
    <row r="313" spans="1:8" ht="13.5" customHeight="1">
      <c r="A313" s="7" t="s">
        <v>852</v>
      </c>
      <c r="B313" s="3" t="s">
        <v>2472</v>
      </c>
      <c r="C313" s="3" t="s">
        <v>853</v>
      </c>
      <c r="D313" s="3" t="s">
        <v>853</v>
      </c>
      <c r="F313" s="16">
        <v>600</v>
      </c>
      <c r="H313" s="16">
        <v>500</v>
      </c>
    </row>
    <row r="314" spans="1:8" ht="13.5" customHeight="1">
      <c r="A314" s="7" t="s">
        <v>854</v>
      </c>
      <c r="B314" s="3" t="s">
        <v>2473</v>
      </c>
      <c r="C314" s="3" t="s">
        <v>855</v>
      </c>
      <c r="D314" s="3" t="s">
        <v>855</v>
      </c>
      <c r="F314" s="16">
        <v>750</v>
      </c>
      <c r="H314" s="16">
        <v>450</v>
      </c>
    </row>
    <row r="315" spans="1:8" ht="13.5" customHeight="1">
      <c r="A315" s="7" t="s">
        <v>856</v>
      </c>
      <c r="B315" s="3" t="s">
        <v>2474</v>
      </c>
      <c r="C315" s="3" t="s">
        <v>857</v>
      </c>
      <c r="D315" s="3" t="s">
        <v>857</v>
      </c>
      <c r="F315" s="16">
        <v>700</v>
      </c>
      <c r="H315" s="16">
        <v>300</v>
      </c>
    </row>
    <row r="316" spans="1:8" ht="13.5" customHeight="1">
      <c r="A316" s="7" t="s">
        <v>858</v>
      </c>
      <c r="B316" s="3" t="s">
        <v>2475</v>
      </c>
      <c r="C316" s="3" t="s">
        <v>859</v>
      </c>
      <c r="D316" s="3" t="s">
        <v>860</v>
      </c>
      <c r="F316" s="16">
        <v>200</v>
      </c>
      <c r="H316" s="16">
        <v>120</v>
      </c>
    </row>
    <row r="317" spans="1:8" ht="13.5" customHeight="1">
      <c r="A317" s="7" t="s">
        <v>861</v>
      </c>
      <c r="B317" s="3" t="s">
        <v>2476</v>
      </c>
      <c r="C317" s="3" t="s">
        <v>862</v>
      </c>
      <c r="D317" s="3" t="s">
        <v>863</v>
      </c>
      <c r="F317" s="16">
        <v>1000</v>
      </c>
      <c r="H317" s="16">
        <v>650</v>
      </c>
    </row>
    <row r="318" spans="1:8" ht="13.5" customHeight="1">
      <c r="A318" s="7" t="s">
        <v>864</v>
      </c>
      <c r="B318" s="3" t="s">
        <v>2477</v>
      </c>
      <c r="C318" s="3" t="s">
        <v>865</v>
      </c>
      <c r="D318" s="3" t="s">
        <v>866</v>
      </c>
      <c r="F318" s="16">
        <v>800</v>
      </c>
      <c r="H318" s="16">
        <v>500</v>
      </c>
    </row>
    <row r="319" spans="1:8" ht="13.5" customHeight="1">
      <c r="A319" s="7" t="s">
        <v>867</v>
      </c>
      <c r="B319" s="3" t="s">
        <v>2478</v>
      </c>
      <c r="C319" s="3" t="s">
        <v>868</v>
      </c>
      <c r="D319" s="3" t="s">
        <v>869</v>
      </c>
      <c r="F319" s="16">
        <v>1200</v>
      </c>
      <c r="H319" s="16">
        <v>900</v>
      </c>
    </row>
    <row r="320" spans="1:8" ht="13.5" customHeight="1">
      <c r="A320" s="7" t="s">
        <v>870</v>
      </c>
      <c r="B320" s="3" t="s">
        <v>2479</v>
      </c>
      <c r="C320" s="3" t="s">
        <v>871</v>
      </c>
      <c r="D320" s="3" t="s">
        <v>872</v>
      </c>
      <c r="F320" s="16">
        <v>500</v>
      </c>
      <c r="H320" s="16">
        <v>300</v>
      </c>
    </row>
    <row r="321" spans="1:8" ht="13.5" customHeight="1">
      <c r="A321" s="7" t="s">
        <v>873</v>
      </c>
      <c r="B321" s="3" t="s">
        <v>2480</v>
      </c>
      <c r="C321" s="3" t="s">
        <v>874</v>
      </c>
      <c r="D321" s="3" t="s">
        <v>875</v>
      </c>
      <c r="F321" s="16">
        <v>300</v>
      </c>
      <c r="H321" s="16">
        <v>200</v>
      </c>
    </row>
    <row r="322" spans="1:8" ht="13.5" customHeight="1">
      <c r="A322" s="7" t="s">
        <v>876</v>
      </c>
      <c r="B322" s="3" t="s">
        <v>2481</v>
      </c>
      <c r="C322" s="3" t="s">
        <v>877</v>
      </c>
      <c r="D322" s="13" t="s">
        <v>878</v>
      </c>
      <c r="F322" s="16">
        <v>450</v>
      </c>
      <c r="H322" s="16">
        <v>350</v>
      </c>
    </row>
    <row r="323" spans="1:8" ht="13.5" customHeight="1">
      <c r="A323" s="7" t="s">
        <v>879</v>
      </c>
      <c r="B323" s="3" t="s">
        <v>2482</v>
      </c>
      <c r="C323" s="3" t="s">
        <v>877</v>
      </c>
      <c r="D323" s="13" t="s">
        <v>878</v>
      </c>
      <c r="F323" s="16">
        <v>450</v>
      </c>
      <c r="H323" s="16">
        <v>350</v>
      </c>
    </row>
    <row r="324" spans="1:8" ht="13.5" customHeight="1">
      <c r="A324" s="7" t="s">
        <v>880</v>
      </c>
      <c r="B324" s="3" t="s">
        <v>2483</v>
      </c>
      <c r="C324" s="3" t="s">
        <v>881</v>
      </c>
      <c r="D324" s="3" t="s">
        <v>882</v>
      </c>
      <c r="F324" s="16">
        <v>700</v>
      </c>
      <c r="H324" s="16">
        <v>500</v>
      </c>
    </row>
    <row r="325" spans="1:8" ht="13.5" customHeight="1">
      <c r="A325" s="7" t="s">
        <v>883</v>
      </c>
      <c r="B325" s="3" t="s">
        <v>2484</v>
      </c>
      <c r="C325" s="3" t="s">
        <v>884</v>
      </c>
      <c r="D325" s="3" t="s">
        <v>885</v>
      </c>
      <c r="F325" s="16">
        <v>110</v>
      </c>
      <c r="H325" s="16">
        <v>70</v>
      </c>
    </row>
    <row r="326" spans="1:8" ht="13.5" customHeight="1">
      <c r="A326" s="7" t="s">
        <v>886</v>
      </c>
      <c r="B326" s="3" t="s">
        <v>2485</v>
      </c>
      <c r="C326" s="3" t="s">
        <v>887</v>
      </c>
      <c r="D326" s="3" t="s">
        <v>888</v>
      </c>
      <c r="F326" s="16">
        <v>200</v>
      </c>
      <c r="H326" s="16">
        <v>150</v>
      </c>
    </row>
    <row r="327" spans="1:8" ht="13.5" customHeight="1">
      <c r="A327" s="7" t="s">
        <v>889</v>
      </c>
      <c r="B327" s="3" t="s">
        <v>2486</v>
      </c>
      <c r="C327" s="3" t="s">
        <v>890</v>
      </c>
      <c r="D327" s="3" t="s">
        <v>890</v>
      </c>
      <c r="F327" s="16">
        <v>200</v>
      </c>
      <c r="H327" s="16">
        <v>140</v>
      </c>
    </row>
    <row r="328" spans="1:8" ht="13.5" customHeight="1">
      <c r="A328" s="7" t="s">
        <v>891</v>
      </c>
      <c r="B328" s="3" t="s">
        <v>2487</v>
      </c>
      <c r="C328" s="3" t="s">
        <v>892</v>
      </c>
      <c r="D328" s="3" t="s">
        <v>893</v>
      </c>
      <c r="F328" s="16">
        <v>450</v>
      </c>
      <c r="H328" s="16">
        <v>350</v>
      </c>
    </row>
    <row r="329" spans="1:8" ht="13.5" customHeight="1">
      <c r="A329" s="7" t="s">
        <v>894</v>
      </c>
      <c r="B329" s="3" t="s">
        <v>2488</v>
      </c>
      <c r="C329" s="14" t="s">
        <v>895</v>
      </c>
      <c r="D329" s="14" t="s">
        <v>896</v>
      </c>
      <c r="F329" s="16">
        <v>1000</v>
      </c>
      <c r="H329" s="16">
        <v>700</v>
      </c>
    </row>
    <row r="330" spans="1:8" ht="13.5" customHeight="1">
      <c r="A330" s="7" t="s">
        <v>897</v>
      </c>
      <c r="B330" s="3" t="s">
        <v>2489</v>
      </c>
      <c r="C330" s="3" t="s">
        <v>898</v>
      </c>
      <c r="D330" s="3" t="s">
        <v>899</v>
      </c>
      <c r="F330" s="16">
        <v>1650</v>
      </c>
      <c r="H330" s="16">
        <v>1250</v>
      </c>
    </row>
    <row r="331" spans="1:8" ht="13.5" customHeight="1">
      <c r="A331" s="7" t="s">
        <v>900</v>
      </c>
      <c r="B331" s="3" t="s">
        <v>2490</v>
      </c>
      <c r="C331" s="3" t="s">
        <v>901</v>
      </c>
      <c r="D331" s="3" t="s">
        <v>902</v>
      </c>
      <c r="F331" s="16">
        <v>450</v>
      </c>
      <c r="H331" s="16">
        <v>300</v>
      </c>
    </row>
    <row r="332" spans="1:8" ht="13.5" customHeight="1">
      <c r="A332" s="7" t="s">
        <v>903</v>
      </c>
      <c r="B332" s="3" t="s">
        <v>2491</v>
      </c>
      <c r="C332" s="3" t="s">
        <v>904</v>
      </c>
      <c r="D332" s="3" t="s">
        <v>905</v>
      </c>
      <c r="F332" s="16">
        <v>220</v>
      </c>
      <c r="H332" s="16">
        <v>120</v>
      </c>
    </row>
    <row r="333" spans="1:8" ht="13.5" customHeight="1">
      <c r="A333" s="7" t="s">
        <v>906</v>
      </c>
      <c r="B333" s="3" t="s">
        <v>2492</v>
      </c>
      <c r="C333" s="3" t="s">
        <v>907</v>
      </c>
      <c r="D333" s="3" t="s">
        <v>907</v>
      </c>
      <c r="F333" s="16">
        <v>250</v>
      </c>
      <c r="H333" s="16">
        <v>160</v>
      </c>
    </row>
    <row r="334" spans="1:8" ht="13.5" customHeight="1">
      <c r="A334" s="7" t="s">
        <v>908</v>
      </c>
      <c r="B334" s="3" t="s">
        <v>2493</v>
      </c>
      <c r="C334" s="3" t="s">
        <v>909</v>
      </c>
      <c r="D334" s="3" t="s">
        <v>909</v>
      </c>
      <c r="F334" s="16">
        <f>160*2</f>
        <v>320</v>
      </c>
      <c r="H334" s="16">
        <f>110*2</f>
        <v>220</v>
      </c>
    </row>
    <row r="335" spans="1:8" ht="13.5" customHeight="1">
      <c r="A335" s="7" t="s">
        <v>910</v>
      </c>
      <c r="B335" s="3" t="s">
        <v>2494</v>
      </c>
      <c r="C335" s="3" t="s">
        <v>911</v>
      </c>
      <c r="D335" s="3" t="s">
        <v>911</v>
      </c>
      <c r="F335" s="16">
        <f>210*2</f>
        <v>420</v>
      </c>
      <c r="H335" s="16">
        <f>120*2</f>
        <v>240</v>
      </c>
    </row>
    <row r="336" spans="1:8" ht="13.5" customHeight="1">
      <c r="A336" s="7" t="s">
        <v>912</v>
      </c>
      <c r="B336" s="3" t="s">
        <v>2495</v>
      </c>
      <c r="C336" s="3" t="s">
        <v>913</v>
      </c>
      <c r="D336" s="3" t="s">
        <v>913</v>
      </c>
      <c r="F336" s="16">
        <f>800*2</f>
        <v>1600</v>
      </c>
      <c r="H336" s="16">
        <f>650*2</f>
        <v>1300</v>
      </c>
    </row>
    <row r="337" spans="1:8" ht="13.5" customHeight="1">
      <c r="A337" s="7" t="s">
        <v>914</v>
      </c>
      <c r="B337" s="3" t="s">
        <v>2496</v>
      </c>
      <c r="C337" s="3" t="s">
        <v>915</v>
      </c>
      <c r="D337" s="3" t="s">
        <v>915</v>
      </c>
      <c r="F337" s="16">
        <v>600</v>
      </c>
      <c r="H337" s="16">
        <v>550</v>
      </c>
    </row>
    <row r="338" spans="1:8" ht="13.5" customHeight="1">
      <c r="A338" s="7" t="s">
        <v>916</v>
      </c>
      <c r="B338" s="3" t="s">
        <v>2497</v>
      </c>
      <c r="C338" s="3" t="s">
        <v>917</v>
      </c>
      <c r="D338" s="3" t="s">
        <v>917</v>
      </c>
      <c r="F338" s="16">
        <v>160</v>
      </c>
      <c r="H338" s="16">
        <v>130</v>
      </c>
    </row>
    <row r="339" spans="1:8" ht="13.5" customHeight="1">
      <c r="A339" s="7" t="s">
        <v>918</v>
      </c>
      <c r="B339" s="3" t="s">
        <v>2498</v>
      </c>
      <c r="C339" s="3" t="s">
        <v>919</v>
      </c>
      <c r="D339" s="3" t="s">
        <v>919</v>
      </c>
      <c r="F339" s="16">
        <v>300</v>
      </c>
      <c r="H339" s="16">
        <v>250</v>
      </c>
    </row>
    <row r="340" spans="1:8" ht="13.5" customHeight="1">
      <c r="A340" s="7" t="s">
        <v>920</v>
      </c>
      <c r="B340" s="3" t="s">
        <v>2499</v>
      </c>
      <c r="C340" s="3" t="s">
        <v>921</v>
      </c>
      <c r="D340" s="3" t="s">
        <v>922</v>
      </c>
      <c r="F340" s="16">
        <v>450</v>
      </c>
      <c r="H340" s="16">
        <v>360</v>
      </c>
    </row>
    <row r="341" spans="1:8" ht="13.5" customHeight="1">
      <c r="A341" s="7" t="s">
        <v>923</v>
      </c>
      <c r="B341" s="3" t="s">
        <v>2500</v>
      </c>
      <c r="C341" s="3" t="s">
        <v>924</v>
      </c>
      <c r="D341" s="3" t="s">
        <v>924</v>
      </c>
      <c r="F341" s="16">
        <v>300</v>
      </c>
      <c r="H341" s="16">
        <v>200</v>
      </c>
    </row>
    <row r="342" spans="1:8" ht="13.5" customHeight="1">
      <c r="A342" s="7" t="s">
        <v>925</v>
      </c>
      <c r="B342" s="3" t="s">
        <v>2501</v>
      </c>
      <c r="C342" s="3" t="s">
        <v>926</v>
      </c>
      <c r="D342" s="3" t="s">
        <v>926</v>
      </c>
      <c r="F342" s="16">
        <f>240*2</f>
        <v>480</v>
      </c>
      <c r="H342" s="16">
        <f>200*2</f>
        <v>400</v>
      </c>
    </row>
    <row r="343" spans="1:8" ht="13.5" customHeight="1">
      <c r="A343" s="7" t="s">
        <v>927</v>
      </c>
      <c r="B343" s="3" t="s">
        <v>2502</v>
      </c>
      <c r="C343" s="3" t="s">
        <v>928</v>
      </c>
      <c r="D343" s="3" t="s">
        <v>928</v>
      </c>
      <c r="F343" s="16">
        <v>120</v>
      </c>
      <c r="H343" s="16">
        <v>80</v>
      </c>
    </row>
    <row r="344" spans="1:8" ht="13.5" customHeight="1">
      <c r="A344" s="7" t="s">
        <v>929</v>
      </c>
      <c r="B344" s="3" t="s">
        <v>2503</v>
      </c>
      <c r="C344" s="14" t="s">
        <v>930</v>
      </c>
      <c r="D344" s="14" t="s">
        <v>930</v>
      </c>
      <c r="F344" s="16">
        <v>480</v>
      </c>
      <c r="H344" s="16">
        <v>400</v>
      </c>
    </row>
    <row r="345" spans="1:8" ht="13.5" customHeight="1">
      <c r="A345" s="7" t="s">
        <v>931</v>
      </c>
      <c r="B345" s="3" t="s">
        <v>2504</v>
      </c>
      <c r="C345" s="3" t="s">
        <v>932</v>
      </c>
      <c r="D345" s="3" t="s">
        <v>932</v>
      </c>
      <c r="F345" s="16">
        <v>420</v>
      </c>
      <c r="H345" s="16">
        <v>350</v>
      </c>
    </row>
    <row r="346" spans="1:8" ht="13.5" customHeight="1">
      <c r="A346" s="7" t="s">
        <v>933</v>
      </c>
      <c r="B346" s="3" t="s">
        <v>2505</v>
      </c>
      <c r="C346" s="3" t="s">
        <v>934</v>
      </c>
      <c r="D346" s="3" t="s">
        <v>934</v>
      </c>
      <c r="F346" s="16">
        <v>500</v>
      </c>
      <c r="H346" s="16">
        <v>350</v>
      </c>
    </row>
    <row r="347" spans="1:8" ht="13.5" customHeight="1">
      <c r="A347" s="7" t="s">
        <v>935</v>
      </c>
      <c r="B347" s="3" t="s">
        <v>2506</v>
      </c>
      <c r="C347" s="3" t="s">
        <v>936</v>
      </c>
      <c r="D347" s="3" t="s">
        <v>936</v>
      </c>
      <c r="F347" s="16">
        <v>250</v>
      </c>
      <c r="H347" s="16">
        <v>120</v>
      </c>
    </row>
    <row r="348" spans="1:8" ht="13.5" customHeight="1">
      <c r="A348" s="7" t="s">
        <v>937</v>
      </c>
      <c r="B348" s="3" t="s">
        <v>2507</v>
      </c>
      <c r="C348" s="3" t="s">
        <v>938</v>
      </c>
      <c r="D348" s="3" t="s">
        <v>938</v>
      </c>
      <c r="F348" s="16">
        <v>350</v>
      </c>
      <c r="H348" s="16">
        <v>250</v>
      </c>
    </row>
    <row r="349" spans="1:8" ht="13.5" customHeight="1">
      <c r="A349" s="7" t="s">
        <v>939</v>
      </c>
      <c r="B349" s="3" t="s">
        <v>2508</v>
      </c>
      <c r="C349" s="3" t="s">
        <v>940</v>
      </c>
      <c r="D349" s="3" t="s">
        <v>940</v>
      </c>
      <c r="F349" s="16">
        <v>550</v>
      </c>
      <c r="H349" s="16">
        <v>450</v>
      </c>
    </row>
    <row r="350" spans="1:8" ht="13.5" customHeight="1">
      <c r="A350" s="7" t="s">
        <v>941</v>
      </c>
      <c r="B350" s="3" t="s">
        <v>2509</v>
      </c>
      <c r="C350" s="3" t="s">
        <v>942</v>
      </c>
      <c r="D350" s="3" t="s">
        <v>942</v>
      </c>
      <c r="F350" s="16">
        <v>250</v>
      </c>
      <c r="H350" s="16">
        <v>150</v>
      </c>
    </row>
    <row r="351" spans="1:8" ht="13.5" customHeight="1">
      <c r="A351" s="7" t="s">
        <v>943</v>
      </c>
      <c r="B351" s="3" t="s">
        <v>2510</v>
      </c>
      <c r="C351" s="14" t="s">
        <v>944</v>
      </c>
      <c r="D351" s="14" t="s">
        <v>944</v>
      </c>
      <c r="F351" s="16">
        <v>300</v>
      </c>
      <c r="H351" s="16">
        <v>100</v>
      </c>
    </row>
    <row r="352" spans="1:8" ht="13.5" customHeight="1">
      <c r="A352" s="7" t="s">
        <v>945</v>
      </c>
      <c r="B352" s="3" t="s">
        <v>2511</v>
      </c>
      <c r="C352" s="3" t="s">
        <v>946</v>
      </c>
      <c r="D352" s="3" t="s">
        <v>946</v>
      </c>
      <c r="F352" s="16">
        <v>350</v>
      </c>
      <c r="H352" s="16">
        <v>150</v>
      </c>
    </row>
    <row r="353" spans="1:8" ht="13.5" customHeight="1">
      <c r="A353" s="7" t="s">
        <v>947</v>
      </c>
      <c r="B353" s="3" t="s">
        <v>2512</v>
      </c>
      <c r="C353" s="3" t="s">
        <v>948</v>
      </c>
      <c r="D353" s="3" t="s">
        <v>949</v>
      </c>
      <c r="F353" s="16">
        <v>250</v>
      </c>
      <c r="H353" s="16">
        <v>150</v>
      </c>
    </row>
    <row r="354" spans="1:8" ht="13.5" customHeight="1">
      <c r="A354" s="3" t="s">
        <v>950</v>
      </c>
      <c r="B354" s="3" t="s">
        <v>2513</v>
      </c>
      <c r="C354" s="3" t="s">
        <v>951</v>
      </c>
      <c r="D354" s="3" t="s">
        <v>952</v>
      </c>
      <c r="E354" s="4">
        <v>500</v>
      </c>
      <c r="F354" s="16">
        <v>900</v>
      </c>
      <c r="H354" s="16">
        <v>700</v>
      </c>
    </row>
    <row r="355" spans="1:8" ht="13.5" customHeight="1">
      <c r="A355" s="7" t="s">
        <v>953</v>
      </c>
      <c r="B355" s="3" t="s">
        <v>2514</v>
      </c>
      <c r="C355" s="3" t="s">
        <v>954</v>
      </c>
      <c r="D355" s="3" t="s">
        <v>954</v>
      </c>
      <c r="F355" s="16">
        <v>120</v>
      </c>
      <c r="H355" s="16">
        <v>70</v>
      </c>
    </row>
    <row r="356" spans="1:8" ht="13.5" customHeight="1">
      <c r="A356" s="7" t="s">
        <v>955</v>
      </c>
      <c r="B356" s="3" t="s">
        <v>2515</v>
      </c>
      <c r="C356" s="3" t="s">
        <v>956</v>
      </c>
      <c r="D356" s="3" t="s">
        <v>956</v>
      </c>
      <c r="F356" s="16">
        <v>160</v>
      </c>
      <c r="H356" s="16">
        <v>145</v>
      </c>
    </row>
    <row r="357" spans="1:8" ht="13.5" customHeight="1">
      <c r="A357" s="7" t="s">
        <v>957</v>
      </c>
      <c r="B357" s="3" t="s">
        <v>2516</v>
      </c>
      <c r="C357" s="3" t="s">
        <v>958</v>
      </c>
      <c r="D357" s="3" t="s">
        <v>959</v>
      </c>
      <c r="F357" s="16">
        <v>610</v>
      </c>
      <c r="H357" s="16">
        <v>400</v>
      </c>
    </row>
    <row r="358" spans="1:8" ht="13.5" customHeight="1">
      <c r="A358" s="7" t="s">
        <v>960</v>
      </c>
      <c r="B358" s="3" t="s">
        <v>2517</v>
      </c>
      <c r="C358" s="3" t="s">
        <v>961</v>
      </c>
      <c r="D358" s="3" t="s">
        <v>962</v>
      </c>
      <c r="F358" s="16">
        <v>260</v>
      </c>
      <c r="H358" s="16">
        <v>165</v>
      </c>
    </row>
    <row r="359" spans="1:8" ht="13.5" customHeight="1">
      <c r="A359" s="7" t="s">
        <v>963</v>
      </c>
      <c r="B359" s="3" t="s">
        <v>2518</v>
      </c>
      <c r="C359" s="3" t="s">
        <v>964</v>
      </c>
      <c r="D359" s="3" t="s">
        <v>965</v>
      </c>
      <c r="F359" s="16">
        <v>200</v>
      </c>
      <c r="H359" s="16">
        <v>155</v>
      </c>
    </row>
    <row r="360" spans="1:8" ht="13.5" customHeight="1">
      <c r="A360" s="7" t="s">
        <v>966</v>
      </c>
      <c r="B360" s="3" t="s">
        <v>2519</v>
      </c>
      <c r="C360" s="3" t="s">
        <v>967</v>
      </c>
      <c r="D360" s="3" t="s">
        <v>968</v>
      </c>
      <c r="F360" s="16">
        <v>900</v>
      </c>
      <c r="H360" s="16">
        <v>750</v>
      </c>
    </row>
    <row r="361" spans="1:8" ht="13.5" customHeight="1">
      <c r="A361" s="7" t="s">
        <v>969</v>
      </c>
      <c r="B361" s="3" t="s">
        <v>2520</v>
      </c>
      <c r="C361" s="3" t="s">
        <v>970</v>
      </c>
      <c r="D361" s="3" t="s">
        <v>971</v>
      </c>
      <c r="F361" s="16">
        <v>150</v>
      </c>
      <c r="H361" s="16">
        <v>70</v>
      </c>
    </row>
    <row r="362" spans="1:8" ht="13.5" customHeight="1">
      <c r="A362" s="7" t="s">
        <v>972</v>
      </c>
      <c r="B362" s="3" t="s">
        <v>2521</v>
      </c>
      <c r="C362" s="3" t="s">
        <v>973</v>
      </c>
      <c r="D362" s="3" t="s">
        <v>974</v>
      </c>
      <c r="F362" s="16">
        <v>200</v>
      </c>
      <c r="H362" s="16">
        <v>100</v>
      </c>
    </row>
    <row r="363" spans="1:8" ht="13.5" customHeight="1">
      <c r="A363" s="7" t="s">
        <v>975</v>
      </c>
      <c r="B363" s="3" t="s">
        <v>2522</v>
      </c>
      <c r="C363" s="3" t="s">
        <v>976</v>
      </c>
      <c r="D363" s="3" t="s">
        <v>977</v>
      </c>
      <c r="F363" s="16">
        <v>210</v>
      </c>
      <c r="H363" s="16">
        <v>100</v>
      </c>
    </row>
    <row r="364" spans="1:8" ht="13.5" customHeight="1">
      <c r="A364" s="7" t="s">
        <v>978</v>
      </c>
      <c r="B364" s="3" t="s">
        <v>2523</v>
      </c>
      <c r="C364" s="3" t="s">
        <v>979</v>
      </c>
      <c r="D364" s="3" t="s">
        <v>980</v>
      </c>
      <c r="F364" s="16">
        <v>210</v>
      </c>
      <c r="H364" s="16">
        <v>110</v>
      </c>
    </row>
    <row r="365" spans="1:8" ht="13.5" customHeight="1">
      <c r="A365" s="7" t="s">
        <v>981</v>
      </c>
      <c r="B365" s="3" t="s">
        <v>2524</v>
      </c>
      <c r="C365" s="3" t="s">
        <v>982</v>
      </c>
      <c r="D365" s="3" t="s">
        <v>983</v>
      </c>
      <c r="F365" s="16">
        <v>250</v>
      </c>
      <c r="H365" s="16">
        <v>110</v>
      </c>
    </row>
    <row r="366" spans="1:8" ht="13.5" customHeight="1">
      <c r="A366" s="7" t="s">
        <v>984</v>
      </c>
      <c r="B366" s="3" t="s">
        <v>2525</v>
      </c>
      <c r="C366" s="3" t="s">
        <v>985</v>
      </c>
      <c r="D366" s="3" t="s">
        <v>985</v>
      </c>
      <c r="F366" s="16">
        <v>150</v>
      </c>
      <c r="H366" s="16">
        <v>90</v>
      </c>
    </row>
    <row r="367" spans="1:8" ht="13.5" customHeight="1">
      <c r="A367" s="7" t="s">
        <v>986</v>
      </c>
      <c r="B367" s="3" t="s">
        <v>2526</v>
      </c>
      <c r="C367" s="3" t="s">
        <v>987</v>
      </c>
      <c r="D367" s="3" t="s">
        <v>988</v>
      </c>
      <c r="F367" s="16">
        <v>1300</v>
      </c>
      <c r="H367" s="16">
        <v>900</v>
      </c>
    </row>
    <row r="368" spans="1:8" ht="13.5" customHeight="1">
      <c r="A368" s="7" t="s">
        <v>989</v>
      </c>
      <c r="B368" s="3" t="s">
        <v>2527</v>
      </c>
      <c r="C368" s="3" t="s">
        <v>990</v>
      </c>
      <c r="D368" s="3" t="s">
        <v>990</v>
      </c>
      <c r="F368" s="16">
        <v>650</v>
      </c>
      <c r="H368" s="16">
        <v>500</v>
      </c>
    </row>
    <row r="369" spans="1:8" ht="13.5" customHeight="1">
      <c r="A369" s="7" t="s">
        <v>991</v>
      </c>
      <c r="B369" s="3" t="s">
        <v>2528</v>
      </c>
      <c r="C369" s="3" t="s">
        <v>992</v>
      </c>
      <c r="D369" s="3" t="s">
        <v>992</v>
      </c>
      <c r="F369" s="16">
        <v>900</v>
      </c>
      <c r="H369" s="16">
        <v>600</v>
      </c>
    </row>
    <row r="370" spans="1:8" ht="13.5" customHeight="1">
      <c r="A370" s="7" t="s">
        <v>993</v>
      </c>
      <c r="B370" s="3" t="s">
        <v>2529</v>
      </c>
      <c r="C370" s="3" t="s">
        <v>994</v>
      </c>
      <c r="D370" s="3" t="s">
        <v>995</v>
      </c>
      <c r="F370" s="16">
        <v>220</v>
      </c>
      <c r="H370" s="16">
        <v>150</v>
      </c>
    </row>
    <row r="371" spans="1:8" ht="13.5" customHeight="1">
      <c r="A371" s="7" t="s">
        <v>996</v>
      </c>
      <c r="B371" s="3" t="s">
        <v>2530</v>
      </c>
      <c r="C371" s="3" t="s">
        <v>997</v>
      </c>
      <c r="D371" s="3" t="s">
        <v>998</v>
      </c>
      <c r="F371" s="16">
        <v>900</v>
      </c>
      <c r="H371" s="16">
        <v>550</v>
      </c>
    </row>
    <row r="372" spans="1:8" ht="13.5" customHeight="1">
      <c r="A372" s="7" t="s">
        <v>999</v>
      </c>
      <c r="B372" s="3" t="s">
        <v>2531</v>
      </c>
      <c r="C372" s="3" t="s">
        <v>1000</v>
      </c>
      <c r="D372" s="3" t="s">
        <v>1000</v>
      </c>
      <c r="F372" s="16">
        <v>300</v>
      </c>
      <c r="H372" s="16">
        <v>150</v>
      </c>
    </row>
    <row r="373" spans="1:8" ht="13.5" customHeight="1">
      <c r="A373" s="7" t="s">
        <v>1001</v>
      </c>
      <c r="B373" s="3" t="s">
        <v>2532</v>
      </c>
      <c r="C373" s="3" t="s">
        <v>1002</v>
      </c>
      <c r="D373" s="3" t="s">
        <v>1003</v>
      </c>
      <c r="F373" s="16">
        <v>600</v>
      </c>
      <c r="H373" s="16">
        <v>460</v>
      </c>
    </row>
    <row r="374" spans="1:8" ht="13.5" customHeight="1">
      <c r="A374" s="7" t="s">
        <v>1004</v>
      </c>
      <c r="B374" s="3" t="s">
        <v>2533</v>
      </c>
      <c r="C374" s="3" t="s">
        <v>1005</v>
      </c>
      <c r="D374" s="3" t="s">
        <v>1006</v>
      </c>
      <c r="F374" s="16">
        <v>1000</v>
      </c>
      <c r="H374" s="16">
        <v>790</v>
      </c>
    </row>
    <row r="375" spans="1:8" ht="13.5" customHeight="1">
      <c r="A375" s="7" t="s">
        <v>1007</v>
      </c>
      <c r="B375" s="3" t="s">
        <v>2534</v>
      </c>
      <c r="C375" s="3" t="s">
        <v>1008</v>
      </c>
      <c r="D375" s="3" t="s">
        <v>1009</v>
      </c>
      <c r="F375" s="16">
        <v>800</v>
      </c>
      <c r="H375" s="16">
        <v>660</v>
      </c>
    </row>
    <row r="376" spans="1:8" ht="13.5" customHeight="1">
      <c r="A376" s="7" t="s">
        <v>1010</v>
      </c>
      <c r="B376" s="3" t="s">
        <v>2535</v>
      </c>
      <c r="C376" s="3" t="s">
        <v>1011</v>
      </c>
      <c r="D376" s="3" t="s">
        <v>1012</v>
      </c>
      <c r="F376" s="16">
        <v>500</v>
      </c>
      <c r="H376" s="16">
        <v>375</v>
      </c>
    </row>
    <row r="377" spans="1:8" ht="13.5" customHeight="1">
      <c r="A377" s="7" t="s">
        <v>1013</v>
      </c>
      <c r="B377" s="3" t="s">
        <v>2536</v>
      </c>
      <c r="C377" s="3" t="s">
        <v>1014</v>
      </c>
      <c r="D377" s="3" t="s">
        <v>1015</v>
      </c>
      <c r="F377" s="16">
        <v>800</v>
      </c>
      <c r="H377" s="16">
        <v>500</v>
      </c>
    </row>
    <row r="378" spans="1:8" ht="13.5" customHeight="1">
      <c r="A378" s="7" t="s">
        <v>1016</v>
      </c>
      <c r="B378" s="3" t="s">
        <v>2537</v>
      </c>
      <c r="C378" s="3" t="s">
        <v>1017</v>
      </c>
      <c r="D378" s="3" t="s">
        <v>1018</v>
      </c>
      <c r="F378" s="16">
        <v>600</v>
      </c>
      <c r="H378" s="16">
        <v>400</v>
      </c>
    </row>
    <row r="379" spans="1:8" ht="13.5" customHeight="1">
      <c r="A379" s="7" t="s">
        <v>1019</v>
      </c>
      <c r="B379" s="3" t="s">
        <v>2538</v>
      </c>
      <c r="C379" s="3" t="s">
        <v>1020</v>
      </c>
      <c r="D379" s="3" t="s">
        <v>1021</v>
      </c>
      <c r="F379" s="16">
        <v>550</v>
      </c>
      <c r="H379" s="16">
        <v>330</v>
      </c>
    </row>
    <row r="380" spans="1:8" ht="13.5" customHeight="1">
      <c r="A380" s="7" t="s">
        <v>1022</v>
      </c>
      <c r="B380" s="3" t="s">
        <v>2539</v>
      </c>
      <c r="C380" s="3" t="s">
        <v>1023</v>
      </c>
      <c r="D380" s="3" t="s">
        <v>1024</v>
      </c>
      <c r="F380" s="16">
        <v>550</v>
      </c>
      <c r="H380" s="16">
        <v>400</v>
      </c>
    </row>
    <row r="381" spans="1:8" ht="13.5" customHeight="1">
      <c r="A381" s="7" t="s">
        <v>1025</v>
      </c>
      <c r="B381" s="3" t="s">
        <v>2540</v>
      </c>
      <c r="C381" s="3" t="s">
        <v>1026</v>
      </c>
      <c r="D381" s="3" t="s">
        <v>1027</v>
      </c>
      <c r="F381" s="16">
        <v>250</v>
      </c>
      <c r="H381" s="16">
        <v>150</v>
      </c>
    </row>
    <row r="382" spans="1:8" ht="13.5" customHeight="1">
      <c r="A382" s="7" t="s">
        <v>1028</v>
      </c>
      <c r="B382" s="3" t="s">
        <v>2541</v>
      </c>
      <c r="C382" s="3" t="s">
        <v>1029</v>
      </c>
      <c r="D382" s="3" t="s">
        <v>1030</v>
      </c>
      <c r="F382" s="16">
        <v>120</v>
      </c>
      <c r="H382" s="16">
        <v>90</v>
      </c>
    </row>
    <row r="383" spans="1:8" ht="13.5" customHeight="1">
      <c r="A383" s="7" t="s">
        <v>1031</v>
      </c>
      <c r="B383" s="3" t="s">
        <v>2542</v>
      </c>
      <c r="C383" s="3" t="s">
        <v>1032</v>
      </c>
      <c r="D383" s="3" t="s">
        <v>1033</v>
      </c>
      <c r="F383" s="16">
        <v>800</v>
      </c>
      <c r="H383" s="16">
        <v>600</v>
      </c>
    </row>
    <row r="384" spans="1:8" ht="13.5" customHeight="1">
      <c r="A384" s="7" t="s">
        <v>1034</v>
      </c>
      <c r="B384" s="3" t="s">
        <v>2543</v>
      </c>
      <c r="C384" s="3" t="s">
        <v>1035</v>
      </c>
      <c r="D384" s="3" t="s">
        <v>1036</v>
      </c>
      <c r="F384" s="16">
        <v>200</v>
      </c>
      <c r="H384" s="16">
        <v>120</v>
      </c>
    </row>
    <row r="385" spans="1:8" ht="13.5" customHeight="1">
      <c r="A385" s="7" t="s">
        <v>1037</v>
      </c>
      <c r="B385" s="3" t="s">
        <v>2544</v>
      </c>
      <c r="C385" s="3" t="s">
        <v>1038</v>
      </c>
      <c r="D385" s="3" t="s">
        <v>1038</v>
      </c>
      <c r="F385" s="16">
        <v>550</v>
      </c>
      <c r="H385" s="16">
        <v>350</v>
      </c>
    </row>
    <row r="386" spans="1:8" ht="13.5" customHeight="1">
      <c r="A386" s="7" t="s">
        <v>1039</v>
      </c>
      <c r="B386" s="3" t="s">
        <v>2545</v>
      </c>
      <c r="C386" s="3" t="s">
        <v>1040</v>
      </c>
      <c r="D386" s="3" t="s">
        <v>1040</v>
      </c>
      <c r="F386" s="16">
        <v>250</v>
      </c>
      <c r="H386" s="16">
        <v>140</v>
      </c>
    </row>
    <row r="387" spans="1:8" ht="13.5" customHeight="1">
      <c r="A387" s="7" t="s">
        <v>1041</v>
      </c>
      <c r="B387" s="3" t="s">
        <v>2546</v>
      </c>
      <c r="C387" s="3" t="s">
        <v>1042</v>
      </c>
      <c r="D387" s="3" t="s">
        <v>1042</v>
      </c>
      <c r="F387" s="16">
        <v>300</v>
      </c>
      <c r="H387" s="16">
        <v>170</v>
      </c>
    </row>
    <row r="388" spans="1:8" ht="13.5" customHeight="1">
      <c r="A388" s="7" t="s">
        <v>1043</v>
      </c>
      <c r="B388" s="3" t="s">
        <v>2547</v>
      </c>
      <c r="C388" s="3" t="s">
        <v>1044</v>
      </c>
      <c r="D388" s="3" t="s">
        <v>1044</v>
      </c>
      <c r="F388" s="16">
        <v>200</v>
      </c>
      <c r="H388" s="16">
        <v>90</v>
      </c>
    </row>
    <row r="389" spans="1:8" ht="13.5" customHeight="1">
      <c r="A389" s="7" t="s">
        <v>1045</v>
      </c>
      <c r="B389" s="3" t="s">
        <v>2548</v>
      </c>
      <c r="C389" s="3" t="s">
        <v>1046</v>
      </c>
      <c r="D389" s="3" t="s">
        <v>1047</v>
      </c>
      <c r="F389" s="16">
        <v>200</v>
      </c>
      <c r="H389" s="16">
        <v>70</v>
      </c>
    </row>
    <row r="390" spans="1:8" ht="13.5" customHeight="1">
      <c r="A390" s="7" t="s">
        <v>1048</v>
      </c>
      <c r="B390" s="3" t="s">
        <v>2549</v>
      </c>
      <c r="C390" s="3" t="s">
        <v>1049</v>
      </c>
      <c r="D390" s="3" t="s">
        <v>1050</v>
      </c>
      <c r="F390" s="16">
        <v>300</v>
      </c>
      <c r="H390" s="16">
        <v>200</v>
      </c>
    </row>
    <row r="391" spans="1:8" ht="13.5" customHeight="1">
      <c r="A391" s="7" t="s">
        <v>1051</v>
      </c>
      <c r="B391" s="3" t="s">
        <v>2550</v>
      </c>
      <c r="C391" s="3" t="s">
        <v>1052</v>
      </c>
      <c r="D391" s="3" t="s">
        <v>1053</v>
      </c>
      <c r="F391" s="16">
        <v>250</v>
      </c>
      <c r="H391" s="16">
        <v>150</v>
      </c>
    </row>
    <row r="392" spans="1:8" ht="13.5" customHeight="1">
      <c r="A392" s="7" t="s">
        <v>1054</v>
      </c>
      <c r="B392" s="3" t="s">
        <v>2551</v>
      </c>
      <c r="C392" s="3" t="s">
        <v>1055</v>
      </c>
      <c r="D392" s="3" t="s">
        <v>1056</v>
      </c>
      <c r="F392" s="16">
        <v>320</v>
      </c>
      <c r="H392" s="16">
        <v>250</v>
      </c>
    </row>
    <row r="393" spans="1:8" ht="13.5" customHeight="1">
      <c r="A393" s="7" t="s">
        <v>1057</v>
      </c>
      <c r="B393" s="3" t="s">
        <v>2552</v>
      </c>
      <c r="C393" s="3" t="s">
        <v>1058</v>
      </c>
      <c r="D393" s="3" t="s">
        <v>1059</v>
      </c>
      <c r="F393" s="16">
        <v>320</v>
      </c>
      <c r="H393" s="16">
        <v>250</v>
      </c>
    </row>
    <row r="394" spans="1:8" ht="13.5" customHeight="1">
      <c r="A394" s="7" t="s">
        <v>1060</v>
      </c>
      <c r="B394" s="3" t="s">
        <v>2553</v>
      </c>
      <c r="C394" s="3" t="s">
        <v>1061</v>
      </c>
      <c r="D394" s="3" t="s">
        <v>1062</v>
      </c>
      <c r="F394" s="16">
        <v>320</v>
      </c>
      <c r="H394" s="16">
        <v>250</v>
      </c>
    </row>
    <row r="395" spans="1:8" ht="13.5" customHeight="1">
      <c r="A395" s="7" t="s">
        <v>1063</v>
      </c>
      <c r="B395" s="3" t="s">
        <v>2554</v>
      </c>
      <c r="C395" s="3" t="s">
        <v>1064</v>
      </c>
      <c r="D395" s="3" t="s">
        <v>1065</v>
      </c>
      <c r="F395" s="16">
        <v>120</v>
      </c>
      <c r="H395" s="16">
        <v>50</v>
      </c>
    </row>
    <row r="396" spans="1:8" ht="13.5" customHeight="1">
      <c r="A396" s="7" t="s">
        <v>1066</v>
      </c>
      <c r="B396" s="3" t="s">
        <v>2555</v>
      </c>
      <c r="C396" s="3" t="s">
        <v>1067</v>
      </c>
      <c r="D396" s="3" t="s">
        <v>1068</v>
      </c>
      <c r="F396" s="16">
        <v>100</v>
      </c>
      <c r="H396" s="16">
        <v>60</v>
      </c>
    </row>
    <row r="397" spans="1:8" ht="13.5" customHeight="1">
      <c r="A397" s="7" t="s">
        <v>1069</v>
      </c>
      <c r="B397" s="3" t="s">
        <v>2556</v>
      </c>
      <c r="C397" s="3" t="s">
        <v>1070</v>
      </c>
      <c r="D397" s="3" t="s">
        <v>1071</v>
      </c>
      <c r="F397" s="16">
        <v>100</v>
      </c>
      <c r="H397" s="16">
        <v>60</v>
      </c>
    </row>
    <row r="398" spans="1:8" ht="13.5" customHeight="1">
      <c r="A398" s="7" t="s">
        <v>1072</v>
      </c>
      <c r="B398" s="3" t="s">
        <v>2557</v>
      </c>
      <c r="C398" s="3" t="s">
        <v>1073</v>
      </c>
      <c r="D398" s="3" t="s">
        <v>1074</v>
      </c>
      <c r="F398" s="16">
        <v>350</v>
      </c>
      <c r="H398" s="16">
        <v>250</v>
      </c>
    </row>
    <row r="399" spans="1:8" ht="13.5" customHeight="1">
      <c r="A399" s="7" t="s">
        <v>1075</v>
      </c>
      <c r="B399" s="3" t="s">
        <v>2558</v>
      </c>
      <c r="C399" s="3" t="s">
        <v>1076</v>
      </c>
      <c r="D399" s="3" t="s">
        <v>1077</v>
      </c>
      <c r="F399" s="16">
        <v>200</v>
      </c>
      <c r="H399" s="16">
        <v>120</v>
      </c>
    </row>
    <row r="400" spans="1:8" ht="13.5" customHeight="1">
      <c r="A400" s="7" t="s">
        <v>1078</v>
      </c>
      <c r="B400" s="3" t="s">
        <v>2559</v>
      </c>
      <c r="C400" s="3" t="s">
        <v>1079</v>
      </c>
      <c r="D400" s="3" t="s">
        <v>1080</v>
      </c>
      <c r="F400" s="16">
        <v>100</v>
      </c>
      <c r="H400" s="16">
        <v>60</v>
      </c>
    </row>
    <row r="401" spans="1:8" ht="13.5" customHeight="1">
      <c r="A401" s="7" t="s">
        <v>1081</v>
      </c>
      <c r="B401" s="3" t="s">
        <v>2560</v>
      </c>
      <c r="C401" s="3" t="s">
        <v>1082</v>
      </c>
      <c r="D401" s="3" t="s">
        <v>1083</v>
      </c>
      <c r="F401" s="16">
        <v>400</v>
      </c>
      <c r="H401" s="16">
        <v>250</v>
      </c>
    </row>
    <row r="402" spans="1:8" ht="13.5" customHeight="1">
      <c r="A402" s="7" t="s">
        <v>1084</v>
      </c>
      <c r="B402" s="3" t="s">
        <v>2561</v>
      </c>
      <c r="C402" s="3" t="s">
        <v>1085</v>
      </c>
      <c r="D402" s="3" t="s">
        <v>1086</v>
      </c>
      <c r="F402" s="16">
        <v>2000</v>
      </c>
      <c r="H402" s="16">
        <v>1600</v>
      </c>
    </row>
    <row r="403" spans="1:8" ht="13.5" customHeight="1">
      <c r="A403" s="7" t="s">
        <v>1087</v>
      </c>
      <c r="B403" s="3" t="s">
        <v>2562</v>
      </c>
      <c r="C403" s="3" t="s">
        <v>1088</v>
      </c>
      <c r="D403" s="3" t="s">
        <v>1089</v>
      </c>
      <c r="F403" s="16">
        <v>2100</v>
      </c>
      <c r="H403" s="16">
        <v>1900</v>
      </c>
    </row>
    <row r="404" spans="1:8" ht="13.5" customHeight="1">
      <c r="A404" s="7" t="s">
        <v>1090</v>
      </c>
      <c r="B404" s="3" t="s">
        <v>2563</v>
      </c>
      <c r="C404" s="3" t="s">
        <v>1091</v>
      </c>
      <c r="D404" s="3" t="s">
        <v>1092</v>
      </c>
      <c r="F404" s="16">
        <v>650</v>
      </c>
      <c r="H404" s="16">
        <v>500</v>
      </c>
    </row>
    <row r="405" spans="1:8" ht="13.5" customHeight="1">
      <c r="A405" s="7" t="s">
        <v>1093</v>
      </c>
      <c r="B405" s="3" t="s">
        <v>2564</v>
      </c>
      <c r="C405" s="3" t="s">
        <v>1094</v>
      </c>
      <c r="D405" s="3" t="s">
        <v>1095</v>
      </c>
      <c r="F405" s="16">
        <v>250</v>
      </c>
      <c r="H405" s="16">
        <v>100</v>
      </c>
    </row>
    <row r="406" spans="1:8" ht="13.5" customHeight="1">
      <c r="A406" s="7" t="s">
        <v>1096</v>
      </c>
      <c r="B406" s="3" t="s">
        <v>2565</v>
      </c>
      <c r="C406" s="3" t="s">
        <v>1097</v>
      </c>
      <c r="D406" s="3" t="s">
        <v>1097</v>
      </c>
      <c r="F406" s="16">
        <v>850</v>
      </c>
      <c r="H406" s="16">
        <v>680</v>
      </c>
    </row>
    <row r="407" spans="1:8" ht="13.5" customHeight="1">
      <c r="A407" s="7" t="s">
        <v>1098</v>
      </c>
      <c r="B407" s="3" t="s">
        <v>2566</v>
      </c>
      <c r="C407" s="3" t="s">
        <v>1099</v>
      </c>
      <c r="D407" s="3" t="s">
        <v>1099</v>
      </c>
      <c r="F407" s="16">
        <v>250</v>
      </c>
      <c r="H407" s="16">
        <v>150</v>
      </c>
    </row>
    <row r="408" spans="1:8" ht="13.5" customHeight="1">
      <c r="A408" s="7" t="s">
        <v>1100</v>
      </c>
      <c r="B408" s="3" t="s">
        <v>2567</v>
      </c>
      <c r="C408" s="3" t="s">
        <v>1101</v>
      </c>
      <c r="D408" s="3" t="s">
        <v>1102</v>
      </c>
      <c r="F408" s="16">
        <v>200</v>
      </c>
      <c r="H408" s="16">
        <v>80</v>
      </c>
    </row>
    <row r="409" spans="1:8" ht="13.5" customHeight="1">
      <c r="A409" s="7" t="s">
        <v>1103</v>
      </c>
      <c r="B409" s="3" t="s">
        <v>2568</v>
      </c>
      <c r="C409" s="3" t="s">
        <v>1104</v>
      </c>
      <c r="D409" s="3" t="s">
        <v>1105</v>
      </c>
      <c r="F409" s="16">
        <v>250</v>
      </c>
      <c r="H409" s="16">
        <v>170</v>
      </c>
    </row>
    <row r="410" spans="1:8" ht="13.5" customHeight="1">
      <c r="A410" s="7" t="s">
        <v>1106</v>
      </c>
      <c r="B410" s="3" t="s">
        <v>2569</v>
      </c>
      <c r="C410" s="3" t="s">
        <v>1107</v>
      </c>
      <c r="D410" s="3" t="s">
        <v>1108</v>
      </c>
      <c r="F410" s="16">
        <v>500</v>
      </c>
      <c r="H410" s="16">
        <v>200</v>
      </c>
    </row>
    <row r="411" spans="1:8" ht="13.5" customHeight="1">
      <c r="A411" s="7" t="s">
        <v>1109</v>
      </c>
      <c r="B411" s="3" t="s">
        <v>2570</v>
      </c>
      <c r="C411" s="3" t="s">
        <v>1110</v>
      </c>
      <c r="D411" s="3" t="s">
        <v>1111</v>
      </c>
      <c r="F411" s="16">
        <f>230*2</f>
        <v>460</v>
      </c>
      <c r="H411" s="16">
        <f>160*2</f>
        <v>320</v>
      </c>
    </row>
    <row r="412" spans="1:8" ht="13.5" customHeight="1">
      <c r="A412" s="7" t="s">
        <v>1112</v>
      </c>
      <c r="B412" s="3" t="s">
        <v>2571</v>
      </c>
      <c r="C412" s="3" t="s">
        <v>1113</v>
      </c>
      <c r="D412" s="3" t="s">
        <v>1114</v>
      </c>
      <c r="F412" s="16">
        <v>1500</v>
      </c>
      <c r="H412" s="16">
        <v>1250</v>
      </c>
    </row>
    <row r="413" spans="1:8" ht="13.5" customHeight="1">
      <c r="A413" s="7" t="s">
        <v>1115</v>
      </c>
      <c r="B413" s="3" t="s">
        <v>2572</v>
      </c>
      <c r="C413" s="3" t="s">
        <v>1116</v>
      </c>
      <c r="D413" s="3" t="s">
        <v>1117</v>
      </c>
      <c r="F413" s="16">
        <v>1800</v>
      </c>
      <c r="H413" s="16">
        <v>1400</v>
      </c>
    </row>
    <row r="414" spans="1:8" ht="13.5" customHeight="1">
      <c r="A414" s="7" t="s">
        <v>1118</v>
      </c>
      <c r="B414" s="3" t="s">
        <v>2573</v>
      </c>
      <c r="C414" s="3" t="s">
        <v>1119</v>
      </c>
      <c r="D414" s="3" t="s">
        <v>1120</v>
      </c>
      <c r="F414" s="16">
        <v>110</v>
      </c>
      <c r="H414" s="16">
        <v>60</v>
      </c>
    </row>
    <row r="415" spans="1:8" ht="13.5" customHeight="1">
      <c r="A415" s="7" t="s">
        <v>1121</v>
      </c>
      <c r="B415" s="3" t="s">
        <v>2574</v>
      </c>
      <c r="C415" s="3" t="s">
        <v>1122</v>
      </c>
      <c r="D415" s="3" t="s">
        <v>1123</v>
      </c>
      <c r="F415" s="16">
        <v>200</v>
      </c>
      <c r="H415" s="16">
        <v>160</v>
      </c>
    </row>
    <row r="416" spans="1:8" ht="13.5" customHeight="1">
      <c r="A416" s="7" t="s">
        <v>1124</v>
      </c>
      <c r="B416" s="3" t="s">
        <v>2575</v>
      </c>
      <c r="C416" s="3" t="s">
        <v>1125</v>
      </c>
      <c r="D416" s="3" t="s">
        <v>1126</v>
      </c>
      <c r="F416" s="16">
        <v>200</v>
      </c>
      <c r="H416" s="16">
        <v>160</v>
      </c>
    </row>
    <row r="417" spans="1:8" ht="13.5" customHeight="1">
      <c r="A417" s="7" t="s">
        <v>1127</v>
      </c>
      <c r="B417" s="3" t="s">
        <v>2576</v>
      </c>
      <c r="C417" s="3" t="s">
        <v>1128</v>
      </c>
      <c r="D417" s="3" t="s">
        <v>1129</v>
      </c>
      <c r="F417" s="16">
        <v>200</v>
      </c>
      <c r="H417" s="16">
        <v>160</v>
      </c>
    </row>
    <row r="418" spans="1:8" ht="13.5" customHeight="1">
      <c r="A418" s="7" t="s">
        <v>1130</v>
      </c>
      <c r="B418" s="3" t="s">
        <v>2577</v>
      </c>
      <c r="C418" s="3" t="s">
        <v>1131</v>
      </c>
      <c r="D418" s="3" t="s">
        <v>1132</v>
      </c>
      <c r="F418" s="16">
        <v>230</v>
      </c>
      <c r="H418" s="16">
        <v>160</v>
      </c>
    </row>
    <row r="419" spans="1:8" ht="13.5" customHeight="1">
      <c r="A419" s="7" t="s">
        <v>1133</v>
      </c>
      <c r="B419" s="3" t="s">
        <v>2578</v>
      </c>
      <c r="C419" s="3" t="s">
        <v>1134</v>
      </c>
      <c r="D419" s="3" t="s">
        <v>1134</v>
      </c>
      <c r="F419" s="16">
        <v>410</v>
      </c>
      <c r="H419" s="16">
        <v>300</v>
      </c>
    </row>
    <row r="420" spans="1:8" ht="13.5" customHeight="1">
      <c r="A420" s="7" t="s">
        <v>1135</v>
      </c>
      <c r="B420" s="3" t="s">
        <v>2579</v>
      </c>
      <c r="C420" s="3" t="s">
        <v>1136</v>
      </c>
      <c r="D420" s="3" t="s">
        <v>1136</v>
      </c>
      <c r="F420" s="16">
        <v>120</v>
      </c>
      <c r="H420" s="16">
        <v>90</v>
      </c>
    </row>
  </sheetData>
  <autoFilter ref="A1:I420" xr:uid="{00000000-0001-0000-0000-000000000000}"/>
  <phoneticPr fontId="2" type="noConversion"/>
  <conditionalFormatting sqref="A1:B243 B4:B420">
    <cfRule type="duplicateValues" dxfId="58" priority="246"/>
  </conditionalFormatting>
  <conditionalFormatting sqref="A1:B1048576">
    <cfRule type="duplicateValues" dxfId="57" priority="2"/>
    <cfRule type="duplicateValues" dxfId="56" priority="32"/>
  </conditionalFormatting>
  <conditionalFormatting sqref="A354:B354">
    <cfRule type="duplicateValues" dxfId="55" priority="14"/>
  </conditionalFormatting>
  <conditionalFormatting sqref="C315">
    <cfRule type="duplicateValues" dxfId="54" priority="38"/>
  </conditionalFormatting>
  <conditionalFormatting sqref="C328 C253:C286 C288 C291:C299 C301:C314 C330:C343 C345:C350 C352:C384 C316:C326 C1:C192 C386:C1048576">
    <cfRule type="duplicateValues" dxfId="53" priority="111"/>
  </conditionalFormatting>
  <conditionalFormatting sqref="C385">
    <cfRule type="duplicateValues" dxfId="52" priority="1"/>
  </conditionalFormatting>
  <conditionalFormatting sqref="D1">
    <cfRule type="duplicateValues" dxfId="51" priority="61"/>
  </conditionalFormatting>
  <conditionalFormatting sqref="D1:D1048576">
    <cfRule type="duplicateValues" dxfId="50" priority="3"/>
  </conditionalFormatting>
  <conditionalFormatting sqref="D3">
    <cfRule type="duplicateValues" dxfId="49" priority="29"/>
  </conditionalFormatting>
  <conditionalFormatting sqref="D15">
    <cfRule type="duplicateValues" dxfId="48" priority="52"/>
  </conditionalFormatting>
  <conditionalFormatting sqref="D97">
    <cfRule type="duplicateValues" dxfId="47" priority="24"/>
  </conditionalFormatting>
  <conditionalFormatting sqref="D130">
    <cfRule type="duplicateValues" dxfId="46" priority="45"/>
  </conditionalFormatting>
  <conditionalFormatting sqref="D146">
    <cfRule type="duplicateValues" dxfId="45" priority="16"/>
  </conditionalFormatting>
  <conditionalFormatting sqref="D158">
    <cfRule type="duplicateValues" dxfId="44" priority="23"/>
  </conditionalFormatting>
  <conditionalFormatting sqref="D159">
    <cfRule type="duplicateValues" dxfId="43" priority="22"/>
  </conditionalFormatting>
  <conditionalFormatting sqref="D160">
    <cfRule type="duplicateValues" dxfId="42" priority="21"/>
  </conditionalFormatting>
  <conditionalFormatting sqref="D168">
    <cfRule type="duplicateValues" dxfId="41" priority="48"/>
  </conditionalFormatting>
  <conditionalFormatting sqref="D291">
    <cfRule type="duplicateValues" dxfId="40" priority="46"/>
  </conditionalFormatting>
  <conditionalFormatting sqref="D301">
    <cfRule type="duplicateValues" dxfId="39" priority="43"/>
  </conditionalFormatting>
  <conditionalFormatting sqref="D302">
    <cfRule type="duplicateValues" dxfId="38" priority="42"/>
  </conditionalFormatting>
  <conditionalFormatting sqref="D303">
    <cfRule type="duplicateValues" dxfId="37" priority="41"/>
  </conditionalFormatting>
  <conditionalFormatting sqref="D307">
    <cfRule type="duplicateValues" dxfId="36" priority="40"/>
  </conditionalFormatting>
  <conditionalFormatting sqref="D310:D311 D314:D315">
    <cfRule type="duplicateValues" dxfId="35" priority="39"/>
  </conditionalFormatting>
  <conditionalFormatting sqref="D312">
    <cfRule type="duplicateValues" dxfId="34" priority="26"/>
  </conditionalFormatting>
  <conditionalFormatting sqref="D313">
    <cfRule type="duplicateValues" dxfId="33" priority="25"/>
  </conditionalFormatting>
  <conditionalFormatting sqref="D319">
    <cfRule type="duplicateValues" dxfId="32" priority="37"/>
  </conditionalFormatting>
  <conditionalFormatting sqref="D320">
    <cfRule type="duplicateValues" dxfId="31" priority="36"/>
  </conditionalFormatting>
  <conditionalFormatting sqref="D328">
    <cfRule type="duplicateValues" dxfId="30" priority="35"/>
  </conditionalFormatting>
  <conditionalFormatting sqref="D330">
    <cfRule type="duplicateValues" dxfId="29" priority="34"/>
  </conditionalFormatting>
  <conditionalFormatting sqref="D345">
    <cfRule type="duplicateValues" dxfId="28" priority="33"/>
  </conditionalFormatting>
  <conditionalFormatting sqref="D346">
    <cfRule type="duplicateValues" dxfId="27" priority="31"/>
  </conditionalFormatting>
  <conditionalFormatting sqref="D347">
    <cfRule type="duplicateValues" dxfId="26" priority="20"/>
  </conditionalFormatting>
  <conditionalFormatting sqref="D348">
    <cfRule type="duplicateValues" dxfId="25" priority="30"/>
  </conditionalFormatting>
  <conditionalFormatting sqref="D349">
    <cfRule type="duplicateValues" dxfId="24" priority="19"/>
  </conditionalFormatting>
  <conditionalFormatting sqref="D350">
    <cfRule type="duplicateValues" dxfId="23" priority="18"/>
  </conditionalFormatting>
  <conditionalFormatting sqref="D352">
    <cfRule type="duplicateValues" dxfId="22" priority="17"/>
  </conditionalFormatting>
  <conditionalFormatting sqref="D353">
    <cfRule type="duplicateValues" dxfId="21" priority="15"/>
  </conditionalFormatting>
  <conditionalFormatting sqref="D354">
    <cfRule type="duplicateValues" dxfId="20" priority="13"/>
  </conditionalFormatting>
  <conditionalFormatting sqref="D355:D356">
    <cfRule type="duplicateValues" dxfId="19" priority="12"/>
  </conditionalFormatting>
  <conditionalFormatting sqref="D362:D365">
    <cfRule type="duplicateValues" dxfId="18" priority="11"/>
  </conditionalFormatting>
  <conditionalFormatting sqref="D369">
    <cfRule type="duplicateValues" dxfId="17" priority="8"/>
  </conditionalFormatting>
  <conditionalFormatting sqref="D370">
    <cfRule type="duplicateValues" dxfId="16" priority="9"/>
  </conditionalFormatting>
  <conditionalFormatting sqref="D372:D377">
    <cfRule type="duplicateValues" dxfId="15" priority="262"/>
  </conditionalFormatting>
  <conditionalFormatting sqref="E1:H1">
    <cfRule type="duplicateValues" dxfId="14" priority="50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8"/>
  <sheetViews>
    <sheetView workbookViewId="0">
      <selection activeCell="B60" sqref="B60"/>
    </sheetView>
  </sheetViews>
  <sheetFormatPr baseColWidth="10" defaultColWidth="9.1640625" defaultRowHeight="14"/>
  <cols>
    <col min="1" max="1" width="19.6640625" style="7" customWidth="1"/>
    <col min="2" max="2" width="33.5" style="8" bestFit="1" customWidth="1"/>
    <col min="3" max="3" width="28.1640625" style="8" customWidth="1"/>
    <col min="4" max="4" width="84.1640625" style="8" customWidth="1"/>
    <col min="5" max="6" width="16.1640625" bestFit="1" customWidth="1"/>
  </cols>
  <sheetData>
    <row r="1" spans="1:6">
      <c r="A1" s="6" t="s">
        <v>0</v>
      </c>
      <c r="B1" s="6" t="s">
        <v>1</v>
      </c>
      <c r="C1" s="6" t="s">
        <v>2</v>
      </c>
      <c r="D1" s="6" t="s">
        <v>1137</v>
      </c>
      <c r="E1" s="1" t="s">
        <v>1138</v>
      </c>
      <c r="F1" s="1" t="s">
        <v>1139</v>
      </c>
    </row>
    <row r="2" spans="1:6" s="2" customFormat="1">
      <c r="A2" s="12" t="s">
        <v>1140</v>
      </c>
      <c r="B2" s="12" t="s">
        <v>1141</v>
      </c>
      <c r="C2" s="12" t="s">
        <v>1141</v>
      </c>
      <c r="D2" s="12" t="s">
        <v>1142</v>
      </c>
      <c r="E2" s="2">
        <v>300</v>
      </c>
      <c r="F2" s="2">
        <v>260</v>
      </c>
    </row>
    <row r="3" spans="1:6">
      <c r="A3" s="3" t="s">
        <v>1143</v>
      </c>
      <c r="B3" s="3" t="s">
        <v>1144</v>
      </c>
      <c r="C3" s="3" t="s">
        <v>1145</v>
      </c>
      <c r="D3" s="3" t="s">
        <v>1146</v>
      </c>
      <c r="E3">
        <v>450</v>
      </c>
      <c r="F3">
        <v>400</v>
      </c>
    </row>
    <row r="4" spans="1:6">
      <c r="A4" s="3" t="s">
        <v>1147</v>
      </c>
      <c r="B4" s="3" t="s">
        <v>1148</v>
      </c>
      <c r="C4" s="3" t="s">
        <v>1148</v>
      </c>
      <c r="D4" s="3" t="s">
        <v>1149</v>
      </c>
      <c r="E4">
        <v>505</v>
      </c>
      <c r="F4">
        <v>405</v>
      </c>
    </row>
    <row r="5" spans="1:6">
      <c r="A5" s="3" t="s">
        <v>1150</v>
      </c>
      <c r="B5" s="3" t="s">
        <v>1151</v>
      </c>
      <c r="C5" s="3" t="s">
        <v>1152</v>
      </c>
      <c r="D5" s="3" t="s">
        <v>1153</v>
      </c>
      <c r="E5">
        <v>750</v>
      </c>
      <c r="F5">
        <v>670</v>
      </c>
    </row>
    <row r="6" spans="1:6">
      <c r="A6" s="3" t="s">
        <v>1154</v>
      </c>
      <c r="B6" s="3" t="s">
        <v>1155</v>
      </c>
      <c r="C6" s="3" t="s">
        <v>1155</v>
      </c>
      <c r="D6" s="3" t="s">
        <v>1156</v>
      </c>
      <c r="E6">
        <v>705</v>
      </c>
      <c r="F6">
        <v>628</v>
      </c>
    </row>
    <row r="7" spans="1:6">
      <c r="A7" s="3" t="s">
        <v>1157</v>
      </c>
      <c r="B7" s="3" t="s">
        <v>1158</v>
      </c>
      <c r="C7" s="3" t="s">
        <v>1159</v>
      </c>
      <c r="D7" s="3" t="s">
        <v>1160</v>
      </c>
      <c r="E7">
        <v>3000</v>
      </c>
      <c r="F7">
        <v>2795</v>
      </c>
    </row>
    <row r="8" spans="1:6">
      <c r="A8" s="3" t="s">
        <v>1161</v>
      </c>
      <c r="B8" s="3" t="s">
        <v>1162</v>
      </c>
      <c r="C8" s="3" t="s">
        <v>1163</v>
      </c>
      <c r="D8" s="3" t="s">
        <v>1164</v>
      </c>
      <c r="E8">
        <v>720</v>
      </c>
      <c r="F8">
        <v>650</v>
      </c>
    </row>
    <row r="9" spans="1:6">
      <c r="A9" s="3" t="s">
        <v>1165</v>
      </c>
      <c r="B9" s="3" t="s">
        <v>1166</v>
      </c>
      <c r="C9" s="3" t="s">
        <v>1167</v>
      </c>
      <c r="D9" s="3" t="s">
        <v>1168</v>
      </c>
      <c r="E9">
        <v>700</v>
      </c>
      <c r="F9">
        <v>650</v>
      </c>
    </row>
    <row r="10" spans="1:6">
      <c r="A10" s="3" t="s">
        <v>1169</v>
      </c>
      <c r="B10" s="3" t="s">
        <v>1170</v>
      </c>
      <c r="C10" s="3" t="s">
        <v>1171</v>
      </c>
      <c r="D10" s="3" t="s">
        <v>1164</v>
      </c>
      <c r="E10">
        <v>730</v>
      </c>
      <c r="F10">
        <v>600</v>
      </c>
    </row>
    <row r="11" spans="1:6">
      <c r="A11" s="3" t="s">
        <v>1172</v>
      </c>
      <c r="B11" s="3" t="s">
        <v>1173</v>
      </c>
      <c r="C11" s="3" t="s">
        <v>1174</v>
      </c>
      <c r="D11" s="3" t="s">
        <v>1175</v>
      </c>
      <c r="E11">
        <v>1200</v>
      </c>
      <c r="F11">
        <v>1000</v>
      </c>
    </row>
    <row r="12" spans="1:6">
      <c r="A12" s="3" t="s">
        <v>1176</v>
      </c>
      <c r="B12" s="3" t="s">
        <v>1177</v>
      </c>
      <c r="C12" s="3" t="s">
        <v>1178</v>
      </c>
      <c r="D12" s="3" t="s">
        <v>1164</v>
      </c>
      <c r="E12">
        <v>405</v>
      </c>
      <c r="F12">
        <v>350</v>
      </c>
    </row>
    <row r="13" spans="1:6">
      <c r="A13" s="3" t="s">
        <v>1179</v>
      </c>
      <c r="B13" s="3" t="s">
        <v>1180</v>
      </c>
      <c r="C13" s="3" t="s">
        <v>1181</v>
      </c>
      <c r="D13" s="3" t="s">
        <v>1182</v>
      </c>
      <c r="E13">
        <v>505</v>
      </c>
      <c r="F13">
        <v>450</v>
      </c>
    </row>
    <row r="14" spans="1:6">
      <c r="A14" s="3" t="s">
        <v>1183</v>
      </c>
      <c r="B14" s="3" t="s">
        <v>1184</v>
      </c>
      <c r="C14" s="3" t="s">
        <v>1185</v>
      </c>
      <c r="D14" s="3" t="s">
        <v>1186</v>
      </c>
      <c r="E14">
        <v>615</v>
      </c>
      <c r="F14">
        <v>520</v>
      </c>
    </row>
    <row r="15" spans="1:6">
      <c r="A15" s="3" t="s">
        <v>1187</v>
      </c>
      <c r="B15" s="3" t="s">
        <v>1188</v>
      </c>
      <c r="C15" s="3" t="s">
        <v>1189</v>
      </c>
      <c r="D15" s="3" t="s">
        <v>1190</v>
      </c>
      <c r="E15">
        <v>2220</v>
      </c>
      <c r="F15">
        <v>1600</v>
      </c>
    </row>
    <row r="16" spans="1:6">
      <c r="A16" s="3" t="s">
        <v>1191</v>
      </c>
      <c r="B16" s="3" t="s">
        <v>1192</v>
      </c>
      <c r="C16" s="3" t="s">
        <v>1193</v>
      </c>
      <c r="D16" s="3" t="s">
        <v>1194</v>
      </c>
      <c r="E16">
        <v>295</v>
      </c>
      <c r="F16">
        <v>200</v>
      </c>
    </row>
    <row r="17" spans="1:6">
      <c r="A17" s="3" t="s">
        <v>1195</v>
      </c>
      <c r="B17" s="3" t="s">
        <v>1196</v>
      </c>
      <c r="C17" s="3" t="s">
        <v>1197</v>
      </c>
      <c r="D17" s="3" t="s">
        <v>1198</v>
      </c>
      <c r="E17">
        <v>2500</v>
      </c>
      <c r="F17">
        <v>1900</v>
      </c>
    </row>
    <row r="18" spans="1:6">
      <c r="A18" s="3" t="s">
        <v>1199</v>
      </c>
      <c r="B18" s="3" t="s">
        <v>1200</v>
      </c>
      <c r="C18" s="3" t="s">
        <v>1201</v>
      </c>
      <c r="D18" s="3" t="s">
        <v>1202</v>
      </c>
      <c r="E18">
        <v>3500</v>
      </c>
      <c r="F18">
        <v>3300</v>
      </c>
    </row>
    <row r="19" spans="1:6">
      <c r="A19" s="3" t="s">
        <v>1203</v>
      </c>
      <c r="B19" s="3" t="s">
        <v>1204</v>
      </c>
      <c r="C19" s="3" t="s">
        <v>1205</v>
      </c>
      <c r="D19" s="3" t="s">
        <v>1206</v>
      </c>
      <c r="E19">
        <v>1300</v>
      </c>
      <c r="F19">
        <v>1100</v>
      </c>
    </row>
    <row r="20" spans="1:6">
      <c r="A20" s="3" t="s">
        <v>1207</v>
      </c>
      <c r="B20" s="3" t="s">
        <v>1208</v>
      </c>
      <c r="C20" s="3" t="s">
        <v>1209</v>
      </c>
      <c r="D20" s="3" t="s">
        <v>1210</v>
      </c>
      <c r="E20">
        <v>1000</v>
      </c>
      <c r="F20">
        <v>890</v>
      </c>
    </row>
    <row r="21" spans="1:6">
      <c r="A21" s="3" t="s">
        <v>1211</v>
      </c>
      <c r="B21" s="3" t="s">
        <v>1212</v>
      </c>
      <c r="C21" s="3" t="s">
        <v>1213</v>
      </c>
      <c r="D21" s="3" t="s">
        <v>1214</v>
      </c>
      <c r="E21">
        <v>750</v>
      </c>
      <c r="F21">
        <v>645</v>
      </c>
    </row>
    <row r="22" spans="1:6">
      <c r="A22" s="3" t="s">
        <v>1215</v>
      </c>
      <c r="B22" s="3" t="s">
        <v>1216</v>
      </c>
      <c r="C22" s="3" t="s">
        <v>1217</v>
      </c>
      <c r="D22" s="3" t="s">
        <v>1218</v>
      </c>
      <c r="E22">
        <v>400</v>
      </c>
      <c r="F22">
        <v>300</v>
      </c>
    </row>
    <row r="23" spans="1:6">
      <c r="A23" s="3" t="s">
        <v>1219</v>
      </c>
      <c r="B23" s="3" t="s">
        <v>1220</v>
      </c>
      <c r="C23" s="3" t="s">
        <v>1221</v>
      </c>
      <c r="D23" s="3" t="s">
        <v>1218</v>
      </c>
      <c r="E23">
        <v>400</v>
      </c>
      <c r="F23">
        <v>350</v>
      </c>
    </row>
    <row r="24" spans="1:6">
      <c r="A24" s="3" t="s">
        <v>1222</v>
      </c>
      <c r="B24" s="3" t="s">
        <v>1223</v>
      </c>
      <c r="C24" s="3" t="s">
        <v>1223</v>
      </c>
      <c r="D24" s="3" t="s">
        <v>1224</v>
      </c>
      <c r="E24">
        <v>1400</v>
      </c>
      <c r="F24">
        <v>1000</v>
      </c>
    </row>
    <row r="25" spans="1:6">
      <c r="A25" s="3" t="s">
        <v>1225</v>
      </c>
      <c r="B25" s="3" t="s">
        <v>1226</v>
      </c>
      <c r="C25" s="3" t="s">
        <v>1227</v>
      </c>
      <c r="D25" s="3" t="s">
        <v>1228</v>
      </c>
      <c r="E25">
        <v>1000</v>
      </c>
      <c r="F25">
        <v>800</v>
      </c>
    </row>
    <row r="26" spans="1:6">
      <c r="A26" s="3" t="s">
        <v>1229</v>
      </c>
      <c r="B26" s="3" t="s">
        <v>1230</v>
      </c>
      <c r="C26" s="3" t="s">
        <v>1231</v>
      </c>
      <c r="D26" s="3" t="s">
        <v>1232</v>
      </c>
      <c r="E26">
        <v>1400</v>
      </c>
      <c r="F26">
        <v>1100</v>
      </c>
    </row>
    <row r="27" spans="1:6">
      <c r="A27" s="3" t="s">
        <v>1233</v>
      </c>
      <c r="B27" s="3" t="s">
        <v>1234</v>
      </c>
      <c r="C27" s="3" t="s">
        <v>1234</v>
      </c>
      <c r="D27" s="3" t="s">
        <v>1235</v>
      </c>
      <c r="E27">
        <v>2300</v>
      </c>
      <c r="F27">
        <v>2000</v>
      </c>
    </row>
    <row r="28" spans="1:6">
      <c r="A28" s="3" t="s">
        <v>1236</v>
      </c>
      <c r="B28" s="3" t="s">
        <v>1237</v>
      </c>
      <c r="C28" s="3" t="s">
        <v>1237</v>
      </c>
      <c r="D28" s="3" t="s">
        <v>1238</v>
      </c>
      <c r="E28">
        <v>1145</v>
      </c>
      <c r="F28">
        <v>940</v>
      </c>
    </row>
    <row r="29" spans="1:6">
      <c r="A29" s="3" t="s">
        <v>1239</v>
      </c>
      <c r="B29" s="3" t="s">
        <v>1240</v>
      </c>
      <c r="C29" s="3" t="s">
        <v>1241</v>
      </c>
      <c r="D29" s="3" t="s">
        <v>1242</v>
      </c>
      <c r="E29">
        <v>705</v>
      </c>
      <c r="F29">
        <v>650</v>
      </c>
    </row>
    <row r="30" spans="1:6">
      <c r="A30" s="3" t="s">
        <v>1243</v>
      </c>
      <c r="B30" s="3" t="s">
        <v>1244</v>
      </c>
      <c r="C30" s="3" t="s">
        <v>1244</v>
      </c>
      <c r="D30" s="3" t="s">
        <v>1245</v>
      </c>
      <c r="E30">
        <v>250</v>
      </c>
      <c r="F30">
        <v>190</v>
      </c>
    </row>
    <row r="31" spans="1:6">
      <c r="A31" s="3" t="s">
        <v>1246</v>
      </c>
      <c r="B31" s="3" t="s">
        <v>1247</v>
      </c>
      <c r="C31" s="3" t="s">
        <v>1248</v>
      </c>
      <c r="D31" s="3" t="s">
        <v>1249</v>
      </c>
      <c r="E31">
        <v>550</v>
      </c>
      <c r="F31">
        <v>450</v>
      </c>
    </row>
    <row r="32" spans="1:6">
      <c r="A32" s="3" t="s">
        <v>1250</v>
      </c>
      <c r="B32" s="3" t="s">
        <v>1251</v>
      </c>
      <c r="C32" s="3" t="s">
        <v>1251</v>
      </c>
      <c r="D32" s="3" t="s">
        <v>1252</v>
      </c>
      <c r="E32">
        <v>600</v>
      </c>
      <c r="F32">
        <v>450</v>
      </c>
    </row>
    <row r="33" spans="1:7">
      <c r="A33" s="3" t="s">
        <v>1253</v>
      </c>
      <c r="B33" s="3" t="s">
        <v>1254</v>
      </c>
      <c r="C33" s="3" t="s">
        <v>1254</v>
      </c>
      <c r="D33" s="3" t="s">
        <v>1255</v>
      </c>
      <c r="E33">
        <v>300</v>
      </c>
      <c r="F33">
        <v>200</v>
      </c>
    </row>
    <row r="34" spans="1:7">
      <c r="A34" s="3" t="s">
        <v>1256</v>
      </c>
      <c r="B34" s="3" t="s">
        <v>1257</v>
      </c>
      <c r="C34" s="3" t="s">
        <v>1258</v>
      </c>
      <c r="D34" s="3" t="s">
        <v>1259</v>
      </c>
      <c r="E34">
        <v>350</v>
      </c>
      <c r="F34">
        <v>300</v>
      </c>
    </row>
    <row r="35" spans="1:7">
      <c r="A35" s="3" t="s">
        <v>1260</v>
      </c>
      <c r="B35" s="3" t="s">
        <v>1261</v>
      </c>
      <c r="C35" s="3" t="s">
        <v>1262</v>
      </c>
      <c r="D35" s="3" t="s">
        <v>1263</v>
      </c>
      <c r="E35">
        <v>400</v>
      </c>
      <c r="F35">
        <v>300</v>
      </c>
    </row>
    <row r="36" spans="1:7">
      <c r="A36" s="3" t="s">
        <v>1264</v>
      </c>
      <c r="B36" s="3" t="s">
        <v>1265</v>
      </c>
      <c r="C36" s="3" t="s">
        <v>1266</v>
      </c>
      <c r="D36" s="3" t="s">
        <v>1267</v>
      </c>
      <c r="E36">
        <v>550</v>
      </c>
      <c r="F36">
        <v>500</v>
      </c>
    </row>
    <row r="37" spans="1:7">
      <c r="A37" s="3" t="s">
        <v>1268</v>
      </c>
      <c r="B37" s="3" t="s">
        <v>1269</v>
      </c>
      <c r="C37" s="3" t="s">
        <v>1269</v>
      </c>
      <c r="D37" s="3" t="s">
        <v>1270</v>
      </c>
      <c r="E37">
        <v>1300</v>
      </c>
      <c r="F37">
        <v>785</v>
      </c>
    </row>
    <row r="38" spans="1:7">
      <c r="A38" s="3" t="s">
        <v>1271</v>
      </c>
      <c r="B38" s="3" t="s">
        <v>1272</v>
      </c>
      <c r="C38" s="3" t="s">
        <v>1273</v>
      </c>
      <c r="D38" s="3" t="s">
        <v>1274</v>
      </c>
      <c r="E38">
        <v>1900</v>
      </c>
      <c r="F38">
        <v>1600</v>
      </c>
    </row>
    <row r="39" spans="1:7">
      <c r="A39" s="3" t="s">
        <v>1275</v>
      </c>
      <c r="B39" s="3" t="s">
        <v>1276</v>
      </c>
      <c r="C39" s="3" t="s">
        <v>1277</v>
      </c>
      <c r="D39" s="3" t="s">
        <v>1278</v>
      </c>
      <c r="E39">
        <v>450</v>
      </c>
      <c r="F39">
        <v>240</v>
      </c>
    </row>
    <row r="40" spans="1:7">
      <c r="A40" s="3" t="s">
        <v>1279</v>
      </c>
      <c r="B40" s="3" t="s">
        <v>1280</v>
      </c>
      <c r="C40" s="3" t="s">
        <v>1281</v>
      </c>
      <c r="D40" s="3" t="s">
        <v>1282</v>
      </c>
      <c r="E40">
        <v>250</v>
      </c>
      <c r="F40">
        <v>150</v>
      </c>
    </row>
    <row r="41" spans="1:7">
      <c r="A41" s="3" t="s">
        <v>1283</v>
      </c>
      <c r="B41" s="3" t="s">
        <v>1284</v>
      </c>
      <c r="C41" s="3" t="s">
        <v>1285</v>
      </c>
      <c r="D41" s="3" t="s">
        <v>1286</v>
      </c>
      <c r="E41">
        <v>300</v>
      </c>
      <c r="F41">
        <v>192</v>
      </c>
    </row>
    <row r="42" spans="1:7">
      <c r="A42" s="7" t="s">
        <v>1287</v>
      </c>
      <c r="B42" s="7" t="s">
        <v>1288</v>
      </c>
      <c r="C42" s="7" t="s">
        <v>1289</v>
      </c>
      <c r="D42" s="7" t="s">
        <v>1290</v>
      </c>
      <c r="E42">
        <v>400</v>
      </c>
      <c r="F42">
        <v>300</v>
      </c>
    </row>
    <row r="43" spans="1:7" ht="30">
      <c r="A43" s="7" t="s">
        <v>1291</v>
      </c>
      <c r="B43" s="7" t="s">
        <v>1292</v>
      </c>
      <c r="C43" s="7" t="s">
        <v>1293</v>
      </c>
      <c r="D43" s="11" t="s">
        <v>1294</v>
      </c>
      <c r="E43">
        <v>800</v>
      </c>
      <c r="F43">
        <v>650</v>
      </c>
    </row>
    <row r="44" spans="1:7">
      <c r="A44" s="7" t="s">
        <v>1295</v>
      </c>
      <c r="B44" s="7" t="s">
        <v>1296</v>
      </c>
      <c r="C44" s="7" t="s">
        <v>1296</v>
      </c>
      <c r="D44" s="7" t="s">
        <v>1297</v>
      </c>
      <c r="E44">
        <v>1815</v>
      </c>
      <c r="F44">
        <v>1395</v>
      </c>
    </row>
    <row r="45" spans="1:7">
      <c r="A45" s="7" t="s">
        <v>1298</v>
      </c>
      <c r="B45" s="7" t="s">
        <v>1299</v>
      </c>
      <c r="C45" s="7" t="s">
        <v>1300</v>
      </c>
      <c r="D45" s="7" t="s">
        <v>1301</v>
      </c>
      <c r="E45">
        <v>1520</v>
      </c>
      <c r="F45">
        <v>1020</v>
      </c>
    </row>
    <row r="46" spans="1:7">
      <c r="A46" s="7" t="s">
        <v>1302</v>
      </c>
      <c r="B46" s="3" t="s">
        <v>1303</v>
      </c>
      <c r="C46" s="3" t="s">
        <v>1304</v>
      </c>
      <c r="D46" t="s">
        <v>1305</v>
      </c>
      <c r="E46" s="4">
        <v>250</v>
      </c>
      <c r="F46" s="4">
        <v>500</v>
      </c>
      <c r="G46" s="4"/>
    </row>
    <row r="47" spans="1:7">
      <c r="A47" s="7" t="s">
        <v>889</v>
      </c>
      <c r="B47" s="3" t="s">
        <v>1306</v>
      </c>
      <c r="C47" s="3" t="s">
        <v>1307</v>
      </c>
      <c r="D47" t="s">
        <v>1308</v>
      </c>
      <c r="E47" s="4">
        <v>250</v>
      </c>
      <c r="F47">
        <v>148</v>
      </c>
      <c r="G47" s="4"/>
    </row>
    <row r="48" spans="1:7">
      <c r="A48" s="3" t="s">
        <v>1309</v>
      </c>
      <c r="B48" s="3" t="s">
        <v>1310</v>
      </c>
      <c r="C48" s="3" t="s">
        <v>1311</v>
      </c>
      <c r="D48" s="3" t="s">
        <v>1312</v>
      </c>
      <c r="E48">
        <v>550</v>
      </c>
      <c r="F48">
        <v>400</v>
      </c>
    </row>
    <row r="49" spans="1:6">
      <c r="A49" s="7" t="s">
        <v>1313</v>
      </c>
      <c r="B49" s="3" t="s">
        <v>1314</v>
      </c>
      <c r="C49" s="3" t="s">
        <v>1314</v>
      </c>
      <c r="D49" s="3" t="s">
        <v>1314</v>
      </c>
      <c r="E49">
        <v>600</v>
      </c>
      <c r="F49">
        <v>400</v>
      </c>
    </row>
    <row r="50" spans="1:6">
      <c r="A50" s="3" t="s">
        <v>1315</v>
      </c>
      <c r="B50" s="3" t="s">
        <v>1316</v>
      </c>
      <c r="C50" s="3" t="s">
        <v>1316</v>
      </c>
      <c r="D50" s="3" t="s">
        <v>1316</v>
      </c>
      <c r="E50">
        <v>500</v>
      </c>
      <c r="F50">
        <v>400</v>
      </c>
    </row>
    <row r="51" spans="1:6">
      <c r="A51" s="3"/>
      <c r="B51" s="3"/>
      <c r="C51" s="3"/>
      <c r="D51" s="3"/>
    </row>
    <row r="52" spans="1:6">
      <c r="A52" s="3"/>
      <c r="B52" s="3"/>
      <c r="C52" s="3"/>
      <c r="D52" s="3"/>
    </row>
    <row r="53" spans="1:6">
      <c r="A53" s="3"/>
      <c r="B53" s="3"/>
      <c r="C53" s="3"/>
      <c r="D53" s="3"/>
    </row>
    <row r="54" spans="1:6">
      <c r="A54" s="3"/>
      <c r="B54" s="3"/>
      <c r="C54" s="3"/>
      <c r="D54" s="3"/>
    </row>
    <row r="55" spans="1:6">
      <c r="A55" s="3"/>
      <c r="B55" s="3"/>
      <c r="C55" s="3"/>
      <c r="D55" s="3"/>
    </row>
    <row r="56" spans="1:6">
      <c r="A56" s="3"/>
      <c r="B56" s="3"/>
      <c r="C56" s="3"/>
      <c r="D56" s="3"/>
    </row>
    <row r="57" spans="1:6">
      <c r="A57" s="3"/>
      <c r="B57" s="3"/>
      <c r="C57" s="3"/>
      <c r="D57" s="3"/>
    </row>
    <row r="58" spans="1:6">
      <c r="A58" s="3"/>
      <c r="B58" s="3"/>
      <c r="C58" s="3"/>
      <c r="D58" s="3"/>
    </row>
  </sheetData>
  <autoFilter ref="A1:G48" xr:uid="{00000000-0001-0000-0100-000000000000}"/>
  <phoneticPr fontId="2" type="noConversion"/>
  <conditionalFormatting sqref="A1">
    <cfRule type="duplicateValues" dxfId="13" priority="9"/>
  </conditionalFormatting>
  <conditionalFormatting sqref="A49">
    <cfRule type="duplicateValues" dxfId="12" priority="1"/>
  </conditionalFormatting>
  <conditionalFormatting sqref="A2:B3 A4:A44 A48 A50:A58">
    <cfRule type="duplicateValues" dxfId="11" priority="50"/>
  </conditionalFormatting>
  <conditionalFormatting sqref="B45">
    <cfRule type="duplicateValues" dxfId="10" priority="5"/>
  </conditionalFormatting>
  <conditionalFormatting sqref="B46">
    <cfRule type="duplicateValues" dxfId="9" priority="4"/>
  </conditionalFormatting>
  <conditionalFormatting sqref="B49">
    <cfRule type="duplicateValues" dxfId="8" priority="2"/>
  </conditionalFormatting>
  <conditionalFormatting sqref="B47:C47">
    <cfRule type="duplicateValues" dxfId="7" priority="3"/>
  </conditionalFormatting>
  <conditionalFormatting sqref="B207:C243 B1:C1 B622:C1048576 B277:C487">
    <cfRule type="duplicateValues" dxfId="6" priority="11"/>
  </conditionalFormatting>
  <conditionalFormatting sqref="D1">
    <cfRule type="duplicateValues" dxfId="5" priority="10"/>
  </conditionalFormatting>
  <conditionalFormatting sqref="E1:F1">
    <cfRule type="duplicateValues" dxfId="4" priority="6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6FB5E-F247-4A9C-A910-3AFA2323782E}">
  <dimension ref="A1:E423"/>
  <sheetViews>
    <sheetView topLeftCell="A421" workbookViewId="0">
      <selection activeCell="B8" sqref="B8"/>
    </sheetView>
  </sheetViews>
  <sheetFormatPr baseColWidth="10" defaultColWidth="8.83203125" defaultRowHeight="14"/>
  <cols>
    <col min="1" max="1" width="13.33203125" bestFit="1" customWidth="1"/>
    <col min="2" max="3" width="58.6640625" bestFit="1" customWidth="1"/>
    <col min="4" max="5" width="16.1640625" bestFit="1" customWidth="1"/>
  </cols>
  <sheetData>
    <row r="1" spans="1:5">
      <c r="A1" s="6" t="s">
        <v>0</v>
      </c>
      <c r="B1" s="6" t="s">
        <v>1</v>
      </c>
      <c r="C1" s="6" t="s">
        <v>2</v>
      </c>
      <c r="D1" t="s">
        <v>3</v>
      </c>
      <c r="E1" s="9" t="s">
        <v>5</v>
      </c>
    </row>
    <row r="2" spans="1:5">
      <c r="A2" s="7" t="s">
        <v>1317</v>
      </c>
      <c r="B2" s="3" t="s">
        <v>1318</v>
      </c>
      <c r="C2" s="3" t="s">
        <v>1319</v>
      </c>
      <c r="D2" s="4">
        <v>9999999</v>
      </c>
      <c r="E2" s="4">
        <v>0.1</v>
      </c>
    </row>
    <row r="3" spans="1:5">
      <c r="A3" s="7" t="s">
        <v>1320</v>
      </c>
      <c r="B3" s="3" t="s">
        <v>1321</v>
      </c>
      <c r="C3" s="3" t="s">
        <v>1322</v>
      </c>
      <c r="D3" s="4">
        <v>9999999</v>
      </c>
      <c r="E3" s="4">
        <v>0.1</v>
      </c>
    </row>
    <row r="4" spans="1:5">
      <c r="A4" s="7" t="s">
        <v>1323</v>
      </c>
      <c r="B4" s="3" t="s">
        <v>1324</v>
      </c>
      <c r="C4" s="3" t="s">
        <v>1324</v>
      </c>
      <c r="D4" s="4">
        <v>9999999</v>
      </c>
      <c r="E4" s="4">
        <v>0.1</v>
      </c>
    </row>
    <row r="5" spans="1:5">
      <c r="A5" s="7" t="s">
        <v>1325</v>
      </c>
      <c r="B5" s="3" t="s">
        <v>1326</v>
      </c>
      <c r="C5" s="3" t="s">
        <v>1326</v>
      </c>
      <c r="D5" s="4">
        <v>9999999</v>
      </c>
      <c r="E5" s="4">
        <v>0.1</v>
      </c>
    </row>
    <row r="6" spans="1:5">
      <c r="A6" s="7" t="s">
        <v>1327</v>
      </c>
      <c r="B6" s="3" t="s">
        <v>1328</v>
      </c>
      <c r="C6" s="3" t="s">
        <v>1328</v>
      </c>
      <c r="D6" s="4">
        <v>9999999</v>
      </c>
      <c r="E6" s="4">
        <v>0.1</v>
      </c>
    </row>
    <row r="7" spans="1:5">
      <c r="A7" s="7" t="s">
        <v>1329</v>
      </c>
      <c r="B7" s="3" t="s">
        <v>1330</v>
      </c>
      <c r="C7" s="3" t="s">
        <v>1330</v>
      </c>
      <c r="D7" s="4">
        <v>9999999</v>
      </c>
      <c r="E7" s="4">
        <v>0.1</v>
      </c>
    </row>
    <row r="8" spans="1:5">
      <c r="A8" s="7" t="s">
        <v>1331</v>
      </c>
      <c r="B8" s="3" t="s">
        <v>1332</v>
      </c>
      <c r="C8" s="3" t="s">
        <v>1332</v>
      </c>
      <c r="D8" s="4">
        <v>9999999</v>
      </c>
      <c r="E8" s="4">
        <v>0.1</v>
      </c>
    </row>
    <row r="9" spans="1:5">
      <c r="A9" s="7" t="s">
        <v>1333</v>
      </c>
      <c r="B9" s="3" t="s">
        <v>1334</v>
      </c>
      <c r="C9" s="3" t="s">
        <v>1334</v>
      </c>
      <c r="D9" s="4">
        <v>9999999</v>
      </c>
      <c r="E9" s="4">
        <v>0.1</v>
      </c>
    </row>
    <row r="10" spans="1:5">
      <c r="A10" s="7" t="s">
        <v>1335</v>
      </c>
      <c r="B10" s="3" t="s">
        <v>1336</v>
      </c>
      <c r="C10" s="3" t="s">
        <v>1336</v>
      </c>
      <c r="D10" s="4">
        <v>9999999</v>
      </c>
      <c r="E10" s="4">
        <v>0.1</v>
      </c>
    </row>
    <row r="11" spans="1:5">
      <c r="A11" s="7" t="s">
        <v>1337</v>
      </c>
      <c r="B11" s="3" t="s">
        <v>1338</v>
      </c>
      <c r="C11" s="3" t="s">
        <v>1338</v>
      </c>
      <c r="D11" s="4">
        <v>9999999</v>
      </c>
      <c r="E11" s="4">
        <v>0.1</v>
      </c>
    </row>
    <row r="12" spans="1:5">
      <c r="A12" s="7" t="s">
        <v>1339</v>
      </c>
      <c r="B12" s="3" t="s">
        <v>1340</v>
      </c>
      <c r="C12" s="3" t="s">
        <v>1340</v>
      </c>
      <c r="D12" s="4">
        <v>9999999</v>
      </c>
      <c r="E12" s="4">
        <v>0.1</v>
      </c>
    </row>
    <row r="13" spans="1:5">
      <c r="A13" s="7" t="s">
        <v>1341</v>
      </c>
      <c r="B13" s="3" t="s">
        <v>1342</v>
      </c>
      <c r="C13" s="3" t="s">
        <v>1342</v>
      </c>
      <c r="D13" s="4">
        <v>9999999</v>
      </c>
      <c r="E13" s="4">
        <v>0.1</v>
      </c>
    </row>
    <row r="14" spans="1:5">
      <c r="A14" s="7" t="s">
        <v>1343</v>
      </c>
      <c r="B14" s="3" t="s">
        <v>1344</v>
      </c>
      <c r="C14" s="3" t="s">
        <v>1344</v>
      </c>
      <c r="D14" s="4">
        <v>9999999</v>
      </c>
      <c r="E14" s="4">
        <v>0.1</v>
      </c>
    </row>
    <row r="15" spans="1:5">
      <c r="A15" s="7" t="s">
        <v>1345</v>
      </c>
      <c r="B15" s="3" t="s">
        <v>1346</v>
      </c>
      <c r="C15" s="3" t="s">
        <v>1346</v>
      </c>
      <c r="D15" s="4">
        <v>9999999</v>
      </c>
      <c r="E15" s="4">
        <v>0.1</v>
      </c>
    </row>
    <row r="16" spans="1:5">
      <c r="A16" s="7" t="s">
        <v>1347</v>
      </c>
      <c r="B16" s="3" t="s">
        <v>1348</v>
      </c>
      <c r="C16" s="3" t="s">
        <v>1348</v>
      </c>
      <c r="D16" s="4">
        <v>9999999</v>
      </c>
      <c r="E16" s="4">
        <v>0.1</v>
      </c>
    </row>
    <row r="17" spans="1:5">
      <c r="A17" s="7" t="s">
        <v>1349</v>
      </c>
      <c r="B17" s="3" t="s">
        <v>1350</v>
      </c>
      <c r="C17" s="3" t="s">
        <v>1350</v>
      </c>
      <c r="D17" s="4">
        <v>9999999</v>
      </c>
      <c r="E17" s="4">
        <v>0.1</v>
      </c>
    </row>
    <row r="18" spans="1:5">
      <c r="A18" s="7" t="s">
        <v>1351</v>
      </c>
      <c r="B18" s="3" t="s">
        <v>1352</v>
      </c>
      <c r="C18" s="3" t="s">
        <v>1352</v>
      </c>
      <c r="D18" s="4">
        <v>9999999</v>
      </c>
      <c r="E18" s="4">
        <v>0.1</v>
      </c>
    </row>
    <row r="19" spans="1:5">
      <c r="A19" s="7" t="s">
        <v>1353</v>
      </c>
      <c r="B19" s="3" t="s">
        <v>1354</v>
      </c>
      <c r="C19" s="3" t="s">
        <v>1354</v>
      </c>
      <c r="D19" s="4">
        <v>9999999</v>
      </c>
      <c r="E19" s="4">
        <v>0.1</v>
      </c>
    </row>
    <row r="20" spans="1:5">
      <c r="A20" s="7" t="s">
        <v>1355</v>
      </c>
      <c r="B20" s="3" t="s">
        <v>1356</v>
      </c>
      <c r="C20" s="3" t="s">
        <v>1356</v>
      </c>
      <c r="D20" s="4">
        <v>9999999</v>
      </c>
      <c r="E20" s="4">
        <v>0.1</v>
      </c>
    </row>
    <row r="21" spans="1:5">
      <c r="A21" s="7" t="s">
        <v>1357</v>
      </c>
      <c r="B21" s="3" t="s">
        <v>1358</v>
      </c>
      <c r="C21" s="3" t="s">
        <v>1358</v>
      </c>
      <c r="D21" s="4">
        <v>9999999</v>
      </c>
      <c r="E21" s="4">
        <v>0.1</v>
      </c>
    </row>
    <row r="22" spans="1:5">
      <c r="A22" s="7" t="s">
        <v>1359</v>
      </c>
      <c r="B22" s="3" t="s">
        <v>1360</v>
      </c>
      <c r="C22" s="3" t="s">
        <v>1360</v>
      </c>
      <c r="D22" s="4">
        <v>9999999</v>
      </c>
      <c r="E22" s="4">
        <v>0.1</v>
      </c>
    </row>
    <row r="23" spans="1:5">
      <c r="A23" s="7" t="s">
        <v>1361</v>
      </c>
      <c r="B23" s="3" t="s">
        <v>1362</v>
      </c>
      <c r="C23" s="3" t="s">
        <v>1362</v>
      </c>
      <c r="D23" s="4">
        <v>9999999</v>
      </c>
      <c r="E23" s="4">
        <v>0.1</v>
      </c>
    </row>
    <row r="24" spans="1:5">
      <c r="A24" s="7" t="s">
        <v>1363</v>
      </c>
      <c r="B24" s="3" t="s">
        <v>1364</v>
      </c>
      <c r="C24" s="3" t="s">
        <v>1364</v>
      </c>
      <c r="D24" s="4">
        <v>9999999</v>
      </c>
      <c r="E24" s="4">
        <v>0.1</v>
      </c>
    </row>
    <row r="25" spans="1:5">
      <c r="A25" s="7" t="s">
        <v>1365</v>
      </c>
      <c r="B25" s="3" t="s">
        <v>1366</v>
      </c>
      <c r="C25" s="3" t="s">
        <v>1366</v>
      </c>
      <c r="D25" s="4">
        <v>9999999</v>
      </c>
      <c r="E25" s="4">
        <v>0.1</v>
      </c>
    </row>
    <row r="26" spans="1:5">
      <c r="A26" s="7" t="s">
        <v>1367</v>
      </c>
      <c r="B26" s="3" t="s">
        <v>1368</v>
      </c>
      <c r="C26" s="3" t="s">
        <v>1368</v>
      </c>
      <c r="D26" s="4">
        <v>9999999</v>
      </c>
      <c r="E26" s="4">
        <v>0.1</v>
      </c>
    </row>
    <row r="27" spans="1:5">
      <c r="A27" s="7" t="s">
        <v>1369</v>
      </c>
      <c r="B27" s="3" t="s">
        <v>1370</v>
      </c>
      <c r="C27" s="3" t="s">
        <v>1370</v>
      </c>
      <c r="D27" s="4">
        <v>9999999</v>
      </c>
      <c r="E27" s="4">
        <v>0.1</v>
      </c>
    </row>
    <row r="28" spans="1:5">
      <c r="A28" s="7" t="s">
        <v>1371</v>
      </c>
      <c r="B28" s="3" t="s">
        <v>1372</v>
      </c>
      <c r="C28" s="3" t="s">
        <v>1372</v>
      </c>
      <c r="D28" s="4">
        <v>9999999</v>
      </c>
      <c r="E28" s="4">
        <v>0.1</v>
      </c>
    </row>
    <row r="29" spans="1:5">
      <c r="A29" s="7" t="s">
        <v>1373</v>
      </c>
      <c r="B29" s="3" t="s">
        <v>1330</v>
      </c>
      <c r="C29" s="3" t="s">
        <v>1330</v>
      </c>
      <c r="D29" s="4">
        <v>9999999</v>
      </c>
      <c r="E29" s="4">
        <v>0.1</v>
      </c>
    </row>
    <row r="30" spans="1:5">
      <c r="A30" s="7" t="s">
        <v>1374</v>
      </c>
      <c r="B30" s="3" t="s">
        <v>1336</v>
      </c>
      <c r="C30" s="3" t="s">
        <v>1336</v>
      </c>
      <c r="D30" s="4">
        <v>9999999</v>
      </c>
      <c r="E30" s="4">
        <v>0.1</v>
      </c>
    </row>
    <row r="31" spans="1:5">
      <c r="A31" s="7" t="s">
        <v>1375</v>
      </c>
      <c r="B31" s="3" t="s">
        <v>1376</v>
      </c>
      <c r="C31" s="3" t="s">
        <v>1376</v>
      </c>
      <c r="D31" s="4">
        <v>9999999</v>
      </c>
      <c r="E31" s="4">
        <v>0.1</v>
      </c>
    </row>
    <row r="32" spans="1:5">
      <c r="A32" s="7" t="s">
        <v>1377</v>
      </c>
      <c r="B32" s="3" t="s">
        <v>1378</v>
      </c>
      <c r="C32" s="3" t="s">
        <v>1378</v>
      </c>
      <c r="D32" s="4">
        <v>9999999</v>
      </c>
      <c r="E32" s="4">
        <v>0.1</v>
      </c>
    </row>
    <row r="33" spans="1:5">
      <c r="A33" s="7" t="s">
        <v>1379</v>
      </c>
      <c r="B33" s="3" t="s">
        <v>1380</v>
      </c>
      <c r="C33" s="3" t="s">
        <v>1380</v>
      </c>
      <c r="D33" s="4">
        <v>9999999</v>
      </c>
      <c r="E33" s="4">
        <v>0.1</v>
      </c>
    </row>
    <row r="34" spans="1:5">
      <c r="A34" s="7" t="s">
        <v>1381</v>
      </c>
      <c r="B34" s="3" t="s">
        <v>1382</v>
      </c>
      <c r="C34" s="3" t="s">
        <v>1382</v>
      </c>
      <c r="D34" s="4">
        <v>9999999</v>
      </c>
      <c r="E34" s="4">
        <v>0.1</v>
      </c>
    </row>
    <row r="35" spans="1:5">
      <c r="A35" s="7" t="s">
        <v>1383</v>
      </c>
      <c r="B35" s="3" t="s">
        <v>1384</v>
      </c>
      <c r="C35" s="3" t="s">
        <v>1384</v>
      </c>
      <c r="D35" s="4">
        <v>9999999</v>
      </c>
      <c r="E35" s="4">
        <v>0.1</v>
      </c>
    </row>
    <row r="36" spans="1:5">
      <c r="A36" s="7" t="s">
        <v>1385</v>
      </c>
      <c r="B36" s="3" t="s">
        <v>1386</v>
      </c>
      <c r="C36" s="3" t="s">
        <v>1386</v>
      </c>
      <c r="D36" s="4">
        <v>9999999</v>
      </c>
      <c r="E36" s="4">
        <v>0.1</v>
      </c>
    </row>
    <row r="37" spans="1:5">
      <c r="A37" s="7" t="s">
        <v>1387</v>
      </c>
      <c r="B37" s="3" t="s">
        <v>1388</v>
      </c>
      <c r="C37" s="3" t="s">
        <v>1388</v>
      </c>
      <c r="D37" s="4">
        <v>9999999</v>
      </c>
      <c r="E37" s="4">
        <v>0.1</v>
      </c>
    </row>
    <row r="38" spans="1:5">
      <c r="A38" s="7" t="s">
        <v>1389</v>
      </c>
      <c r="B38" s="3" t="s">
        <v>1390</v>
      </c>
      <c r="C38" s="3" t="s">
        <v>1390</v>
      </c>
      <c r="D38" s="4">
        <v>9999999</v>
      </c>
      <c r="E38" s="4">
        <v>0.1</v>
      </c>
    </row>
    <row r="39" spans="1:5">
      <c r="A39" s="7" t="s">
        <v>1391</v>
      </c>
      <c r="B39" s="3" t="s">
        <v>1392</v>
      </c>
      <c r="C39" s="3" t="s">
        <v>1392</v>
      </c>
      <c r="D39" s="4">
        <v>9999999</v>
      </c>
      <c r="E39" s="4">
        <v>0.1</v>
      </c>
    </row>
    <row r="40" spans="1:5">
      <c r="A40" s="7" t="s">
        <v>1393</v>
      </c>
      <c r="B40" s="3" t="s">
        <v>1394</v>
      </c>
      <c r="C40" s="3" t="s">
        <v>1394</v>
      </c>
      <c r="D40" s="4">
        <v>9999999</v>
      </c>
      <c r="E40" s="4">
        <v>0.1</v>
      </c>
    </row>
    <row r="41" spans="1:5">
      <c r="A41" s="7" t="s">
        <v>1395</v>
      </c>
      <c r="B41" s="3" t="s">
        <v>1396</v>
      </c>
      <c r="C41" s="3" t="s">
        <v>1396</v>
      </c>
      <c r="D41" s="4">
        <v>9999999</v>
      </c>
      <c r="E41" s="4">
        <v>0.1</v>
      </c>
    </row>
    <row r="42" spans="1:5">
      <c r="A42" s="7" t="s">
        <v>1397</v>
      </c>
      <c r="B42" s="3" t="s">
        <v>1398</v>
      </c>
      <c r="C42" s="3" t="s">
        <v>1398</v>
      </c>
      <c r="D42" s="4">
        <v>9999999</v>
      </c>
      <c r="E42" s="4">
        <v>0.1</v>
      </c>
    </row>
    <row r="43" spans="1:5">
      <c r="A43" s="7" t="s">
        <v>1399</v>
      </c>
      <c r="B43" s="3" t="s">
        <v>1400</v>
      </c>
      <c r="C43" s="3" t="s">
        <v>1400</v>
      </c>
      <c r="D43" s="4">
        <v>9999999</v>
      </c>
      <c r="E43" s="4">
        <v>0.1</v>
      </c>
    </row>
    <row r="44" spans="1:5">
      <c r="A44" s="7" t="s">
        <v>1401</v>
      </c>
      <c r="B44" s="3" t="s">
        <v>1402</v>
      </c>
      <c r="C44" s="3" t="s">
        <v>1402</v>
      </c>
      <c r="D44" s="4">
        <v>9999999</v>
      </c>
      <c r="E44" s="4">
        <v>0.1</v>
      </c>
    </row>
    <row r="45" spans="1:5">
      <c r="A45" s="7" t="s">
        <v>1403</v>
      </c>
      <c r="B45" s="3" t="s">
        <v>1404</v>
      </c>
      <c r="C45" s="3" t="s">
        <v>1404</v>
      </c>
      <c r="D45" s="4">
        <v>9999999</v>
      </c>
      <c r="E45" s="4">
        <v>0.1</v>
      </c>
    </row>
    <row r="46" spans="1:5">
      <c r="A46" s="7" t="s">
        <v>1405</v>
      </c>
      <c r="B46" s="3" t="s">
        <v>1406</v>
      </c>
      <c r="C46" s="3" t="s">
        <v>1406</v>
      </c>
      <c r="D46" s="4">
        <v>9999999</v>
      </c>
      <c r="E46" s="4">
        <v>0.1</v>
      </c>
    </row>
    <row r="47" spans="1:5">
      <c r="A47" s="7" t="s">
        <v>1407</v>
      </c>
      <c r="B47" s="3" t="s">
        <v>1408</v>
      </c>
      <c r="C47" s="3" t="s">
        <v>1408</v>
      </c>
      <c r="D47" s="4">
        <v>9999999</v>
      </c>
      <c r="E47" s="4">
        <v>0.1</v>
      </c>
    </row>
    <row r="48" spans="1:5">
      <c r="A48" s="7" t="s">
        <v>1409</v>
      </c>
      <c r="B48" s="3" t="s">
        <v>1410</v>
      </c>
      <c r="C48" s="3" t="s">
        <v>1410</v>
      </c>
      <c r="D48" s="4">
        <v>9999999</v>
      </c>
      <c r="E48" s="4">
        <v>0.1</v>
      </c>
    </row>
    <row r="49" spans="1:5">
      <c r="A49" s="7" t="s">
        <v>1411</v>
      </c>
      <c r="B49" s="3" t="s">
        <v>1412</v>
      </c>
      <c r="C49" s="3" t="s">
        <v>1412</v>
      </c>
      <c r="D49" s="4">
        <v>9999999</v>
      </c>
      <c r="E49" s="4">
        <v>0.1</v>
      </c>
    </row>
    <row r="50" spans="1:5">
      <c r="A50" s="7" t="s">
        <v>1413</v>
      </c>
      <c r="B50" s="3" t="s">
        <v>1414</v>
      </c>
      <c r="C50" s="3" t="s">
        <v>1414</v>
      </c>
      <c r="D50" s="4">
        <v>9999999</v>
      </c>
      <c r="E50" s="4">
        <v>0.1</v>
      </c>
    </row>
    <row r="51" spans="1:5">
      <c r="A51" s="7" t="s">
        <v>1415</v>
      </c>
      <c r="B51" s="3" t="s">
        <v>1416</v>
      </c>
      <c r="C51" s="3" t="s">
        <v>1416</v>
      </c>
      <c r="D51" s="4">
        <v>9999999</v>
      </c>
      <c r="E51" s="4">
        <v>0.1</v>
      </c>
    </row>
    <row r="52" spans="1:5">
      <c r="A52" s="7" t="s">
        <v>1417</v>
      </c>
      <c r="B52" s="3" t="s">
        <v>1418</v>
      </c>
      <c r="C52" s="3" t="s">
        <v>1418</v>
      </c>
      <c r="D52" s="4">
        <v>9999999</v>
      </c>
      <c r="E52" s="4">
        <v>0.1</v>
      </c>
    </row>
    <row r="53" spans="1:5">
      <c r="A53" s="7" t="s">
        <v>1419</v>
      </c>
      <c r="B53" s="3" t="s">
        <v>1420</v>
      </c>
      <c r="C53" s="3" t="s">
        <v>1420</v>
      </c>
      <c r="D53" s="4">
        <v>9999999</v>
      </c>
      <c r="E53" s="4">
        <v>0.1</v>
      </c>
    </row>
    <row r="54" spans="1:5">
      <c r="A54" s="7" t="s">
        <v>1421</v>
      </c>
      <c r="B54" s="3" t="s">
        <v>1422</v>
      </c>
      <c r="C54" s="3" t="s">
        <v>1422</v>
      </c>
      <c r="D54" s="4">
        <v>9999999</v>
      </c>
      <c r="E54" s="4">
        <v>0.1</v>
      </c>
    </row>
    <row r="55" spans="1:5">
      <c r="A55" s="7" t="s">
        <v>1423</v>
      </c>
      <c r="B55" s="3" t="s">
        <v>1424</v>
      </c>
      <c r="C55" s="3" t="s">
        <v>1424</v>
      </c>
      <c r="D55" s="4">
        <v>9999999</v>
      </c>
      <c r="E55" s="4">
        <v>0.1</v>
      </c>
    </row>
    <row r="56" spans="1:5">
      <c r="A56" s="7" t="s">
        <v>1425</v>
      </c>
      <c r="B56" s="3" t="s">
        <v>1426</v>
      </c>
      <c r="C56" s="3" t="s">
        <v>1426</v>
      </c>
      <c r="D56" s="4">
        <v>9999999</v>
      </c>
      <c r="E56" s="4">
        <v>0.1</v>
      </c>
    </row>
    <row r="57" spans="1:5">
      <c r="A57" s="7" t="s">
        <v>1427</v>
      </c>
      <c r="B57" s="3" t="s">
        <v>1428</v>
      </c>
      <c r="C57" s="3" t="s">
        <v>1428</v>
      </c>
      <c r="D57" s="4">
        <v>9999999</v>
      </c>
      <c r="E57" s="4">
        <v>0.1</v>
      </c>
    </row>
    <row r="58" spans="1:5">
      <c r="A58" s="7" t="s">
        <v>1429</v>
      </c>
      <c r="B58" s="3" t="s">
        <v>1430</v>
      </c>
      <c r="C58" s="3" t="s">
        <v>1430</v>
      </c>
      <c r="D58" s="4">
        <v>9999999</v>
      </c>
      <c r="E58" s="4">
        <v>0.1</v>
      </c>
    </row>
    <row r="59" spans="1:5">
      <c r="A59" s="7" t="s">
        <v>1431</v>
      </c>
      <c r="B59" s="3" t="s">
        <v>1432</v>
      </c>
      <c r="C59" s="3" t="s">
        <v>1432</v>
      </c>
      <c r="D59" s="4">
        <v>9999999</v>
      </c>
      <c r="E59" s="4">
        <v>0.1</v>
      </c>
    </row>
    <row r="60" spans="1:5">
      <c r="A60" s="7" t="s">
        <v>1433</v>
      </c>
      <c r="B60" s="3" t="s">
        <v>1434</v>
      </c>
      <c r="C60" s="3" t="s">
        <v>1434</v>
      </c>
      <c r="D60" s="4">
        <v>9999999</v>
      </c>
      <c r="E60" s="4">
        <v>0.1</v>
      </c>
    </row>
    <row r="61" spans="1:5">
      <c r="A61" s="7" t="s">
        <v>1435</v>
      </c>
      <c r="B61" s="3" t="s">
        <v>1436</v>
      </c>
      <c r="C61" s="3" t="s">
        <v>1436</v>
      </c>
      <c r="D61" s="4">
        <v>9999999</v>
      </c>
      <c r="E61" s="4">
        <v>0.1</v>
      </c>
    </row>
    <row r="62" spans="1:5">
      <c r="A62" s="7" t="s">
        <v>1437</v>
      </c>
      <c r="B62" s="3" t="s">
        <v>1438</v>
      </c>
      <c r="C62" s="3" t="s">
        <v>1438</v>
      </c>
      <c r="D62" s="4">
        <v>9999999</v>
      </c>
      <c r="E62" s="4">
        <v>0.1</v>
      </c>
    </row>
    <row r="63" spans="1:5">
      <c r="A63" s="7" t="s">
        <v>1439</v>
      </c>
      <c r="B63" s="3" t="s">
        <v>1440</v>
      </c>
      <c r="C63" s="3" t="s">
        <v>1440</v>
      </c>
      <c r="D63" s="4">
        <v>9999999</v>
      </c>
      <c r="E63" s="4">
        <v>0.1</v>
      </c>
    </row>
    <row r="64" spans="1:5">
      <c r="A64" s="7" t="s">
        <v>1441</v>
      </c>
      <c r="B64" s="3" t="s">
        <v>1442</v>
      </c>
      <c r="C64" s="3" t="s">
        <v>1442</v>
      </c>
      <c r="D64" s="4">
        <v>9999999</v>
      </c>
      <c r="E64" s="4">
        <v>0.1</v>
      </c>
    </row>
    <row r="65" spans="1:5">
      <c r="A65" s="7" t="s">
        <v>1443</v>
      </c>
      <c r="B65" s="3" t="s">
        <v>1444</v>
      </c>
      <c r="C65" s="3" t="s">
        <v>1444</v>
      </c>
      <c r="D65" s="4">
        <v>9999999</v>
      </c>
      <c r="E65" s="4">
        <v>0.1</v>
      </c>
    </row>
    <row r="66" spans="1:5">
      <c r="A66" s="7" t="s">
        <v>1445</v>
      </c>
      <c r="B66" s="3" t="s">
        <v>1446</v>
      </c>
      <c r="C66" s="3" t="s">
        <v>1446</v>
      </c>
      <c r="D66" s="4">
        <v>9999999</v>
      </c>
      <c r="E66" s="4">
        <v>0.1</v>
      </c>
    </row>
    <row r="67" spans="1:5">
      <c r="A67" s="7" t="s">
        <v>1447</v>
      </c>
      <c r="B67" s="3" t="s">
        <v>1448</v>
      </c>
      <c r="C67" s="3" t="s">
        <v>1448</v>
      </c>
      <c r="D67" s="4">
        <v>9999999</v>
      </c>
      <c r="E67" s="4">
        <v>0.1</v>
      </c>
    </row>
    <row r="68" spans="1:5">
      <c r="A68" s="7" t="s">
        <v>1449</v>
      </c>
      <c r="B68" s="3" t="s">
        <v>1450</v>
      </c>
      <c r="C68" s="3" t="s">
        <v>1450</v>
      </c>
      <c r="D68" s="4">
        <v>9999999</v>
      </c>
      <c r="E68" s="4">
        <v>0.1</v>
      </c>
    </row>
    <row r="69" spans="1:5">
      <c r="A69" s="7" t="s">
        <v>1451</v>
      </c>
      <c r="B69" s="3" t="s">
        <v>1452</v>
      </c>
      <c r="C69" s="3" t="s">
        <v>1452</v>
      </c>
      <c r="D69" s="4">
        <v>9999999</v>
      </c>
      <c r="E69" s="4">
        <v>0.1</v>
      </c>
    </row>
    <row r="70" spans="1:5">
      <c r="A70" s="7" t="s">
        <v>1453</v>
      </c>
      <c r="B70" s="3" t="s">
        <v>1454</v>
      </c>
      <c r="C70" s="3" t="s">
        <v>1454</v>
      </c>
      <c r="D70" s="4">
        <v>9999999</v>
      </c>
      <c r="E70" s="4">
        <v>0.1</v>
      </c>
    </row>
    <row r="71" spans="1:5">
      <c r="A71" s="7" t="s">
        <v>1455</v>
      </c>
      <c r="B71" s="3" t="s">
        <v>1456</v>
      </c>
      <c r="C71" s="3" t="s">
        <v>1456</v>
      </c>
      <c r="D71" s="4">
        <v>9999999</v>
      </c>
      <c r="E71" s="4">
        <v>0.1</v>
      </c>
    </row>
    <row r="72" spans="1:5">
      <c r="A72" s="7" t="s">
        <v>1457</v>
      </c>
      <c r="B72" s="3" t="s">
        <v>1458</v>
      </c>
      <c r="C72" s="3" t="s">
        <v>1458</v>
      </c>
      <c r="D72" s="4">
        <v>9999999</v>
      </c>
      <c r="E72" s="4">
        <v>0.1</v>
      </c>
    </row>
    <row r="73" spans="1:5">
      <c r="A73" s="7" t="s">
        <v>1459</v>
      </c>
      <c r="B73" s="3" t="s">
        <v>1460</v>
      </c>
      <c r="C73" s="3" t="s">
        <v>1460</v>
      </c>
      <c r="D73" s="4">
        <v>9999999</v>
      </c>
      <c r="E73" s="4">
        <v>0.1</v>
      </c>
    </row>
    <row r="74" spans="1:5">
      <c r="A74" s="7" t="s">
        <v>1461</v>
      </c>
      <c r="B74" s="3" t="s">
        <v>1462</v>
      </c>
      <c r="C74" s="3" t="s">
        <v>1462</v>
      </c>
      <c r="D74" s="4">
        <v>9999999</v>
      </c>
      <c r="E74" s="4">
        <v>0.1</v>
      </c>
    </row>
    <row r="75" spans="1:5">
      <c r="A75" s="7" t="s">
        <v>1463</v>
      </c>
      <c r="B75" s="3" t="s">
        <v>1464</v>
      </c>
      <c r="C75" s="3" t="s">
        <v>1464</v>
      </c>
      <c r="D75" s="4">
        <v>9999999</v>
      </c>
      <c r="E75" s="4">
        <v>0.1</v>
      </c>
    </row>
    <row r="76" spans="1:5">
      <c r="A76" s="7" t="s">
        <v>1465</v>
      </c>
      <c r="B76" s="3" t="s">
        <v>1466</v>
      </c>
      <c r="C76" s="3" t="s">
        <v>1466</v>
      </c>
      <c r="D76" s="4">
        <v>9999999</v>
      </c>
      <c r="E76" s="4">
        <v>0.1</v>
      </c>
    </row>
    <row r="77" spans="1:5">
      <c r="A77" s="7" t="s">
        <v>1467</v>
      </c>
      <c r="B77" s="3" t="s">
        <v>1468</v>
      </c>
      <c r="C77" s="3" t="s">
        <v>1468</v>
      </c>
      <c r="D77" s="4">
        <v>9999999</v>
      </c>
      <c r="E77" s="4">
        <v>0.1</v>
      </c>
    </row>
    <row r="78" spans="1:5">
      <c r="A78" s="7" t="s">
        <v>1469</v>
      </c>
      <c r="B78" s="3" t="s">
        <v>1470</v>
      </c>
      <c r="C78" s="3" t="s">
        <v>1470</v>
      </c>
      <c r="D78" s="4">
        <v>9999999</v>
      </c>
      <c r="E78" s="4">
        <v>0.1</v>
      </c>
    </row>
    <row r="79" spans="1:5">
      <c r="A79" s="7" t="s">
        <v>1471</v>
      </c>
      <c r="B79" s="3" t="s">
        <v>1472</v>
      </c>
      <c r="C79" s="3" t="s">
        <v>1472</v>
      </c>
      <c r="D79" s="4">
        <v>9999999</v>
      </c>
      <c r="E79" s="4">
        <v>0.1</v>
      </c>
    </row>
    <row r="80" spans="1:5">
      <c r="A80" s="7" t="s">
        <v>1473</v>
      </c>
      <c r="B80" s="3" t="s">
        <v>1474</v>
      </c>
      <c r="C80" s="3" t="s">
        <v>1474</v>
      </c>
      <c r="D80" s="4">
        <v>9999999</v>
      </c>
      <c r="E80" s="4">
        <v>0.1</v>
      </c>
    </row>
    <row r="81" spans="1:5">
      <c r="A81" s="7" t="s">
        <v>1475</v>
      </c>
      <c r="B81" s="3" t="s">
        <v>1476</v>
      </c>
      <c r="C81" s="3" t="s">
        <v>1476</v>
      </c>
      <c r="D81" s="4">
        <v>9999999</v>
      </c>
      <c r="E81" s="4">
        <v>0.1</v>
      </c>
    </row>
    <row r="82" spans="1:5">
      <c r="A82" s="7" t="s">
        <v>1477</v>
      </c>
      <c r="B82" s="3" t="s">
        <v>1478</v>
      </c>
      <c r="C82" s="3" t="s">
        <v>1478</v>
      </c>
      <c r="D82" s="4">
        <v>9999999</v>
      </c>
      <c r="E82" s="4">
        <v>0.1</v>
      </c>
    </row>
    <row r="83" spans="1:5">
      <c r="A83" s="7" t="s">
        <v>1479</v>
      </c>
      <c r="B83" s="3" t="s">
        <v>1480</v>
      </c>
      <c r="C83" s="3" t="s">
        <v>1480</v>
      </c>
      <c r="D83" s="4">
        <v>9999999</v>
      </c>
      <c r="E83" s="4">
        <v>0.1</v>
      </c>
    </row>
    <row r="84" spans="1:5">
      <c r="A84" s="7" t="s">
        <v>1481</v>
      </c>
      <c r="B84" s="3" t="s">
        <v>1482</v>
      </c>
      <c r="C84" s="3" t="s">
        <v>1482</v>
      </c>
      <c r="D84" s="4">
        <v>9999999</v>
      </c>
      <c r="E84" s="4">
        <v>0.1</v>
      </c>
    </row>
    <row r="85" spans="1:5">
      <c r="A85" s="7" t="s">
        <v>1483</v>
      </c>
      <c r="B85" s="3" t="s">
        <v>1484</v>
      </c>
      <c r="C85" s="3" t="s">
        <v>1484</v>
      </c>
      <c r="D85" s="4">
        <v>9999999</v>
      </c>
      <c r="E85" s="4">
        <v>0.1</v>
      </c>
    </row>
    <row r="86" spans="1:5">
      <c r="A86" s="7" t="s">
        <v>1485</v>
      </c>
      <c r="B86" s="3" t="s">
        <v>1486</v>
      </c>
      <c r="C86" s="3" t="s">
        <v>1486</v>
      </c>
      <c r="D86" s="4">
        <v>9999999</v>
      </c>
      <c r="E86" s="4">
        <v>0.1</v>
      </c>
    </row>
    <row r="87" spans="1:5">
      <c r="A87" s="7" t="s">
        <v>1487</v>
      </c>
      <c r="B87" s="3" t="s">
        <v>1488</v>
      </c>
      <c r="C87" s="3" t="s">
        <v>1488</v>
      </c>
      <c r="D87" s="4">
        <v>9999999</v>
      </c>
      <c r="E87" s="4">
        <v>0.1</v>
      </c>
    </row>
    <row r="88" spans="1:5">
      <c r="A88" s="7" t="s">
        <v>1489</v>
      </c>
      <c r="B88" s="3" t="s">
        <v>1490</v>
      </c>
      <c r="C88" s="3" t="s">
        <v>1490</v>
      </c>
      <c r="D88" s="4">
        <v>9999999</v>
      </c>
      <c r="E88" s="4">
        <v>0.1</v>
      </c>
    </row>
    <row r="89" spans="1:5">
      <c r="A89" s="7" t="s">
        <v>1491</v>
      </c>
      <c r="B89" s="3" t="s">
        <v>1492</v>
      </c>
      <c r="C89" s="3" t="s">
        <v>1492</v>
      </c>
      <c r="D89" s="4">
        <v>9999999</v>
      </c>
      <c r="E89" s="4">
        <v>0.1</v>
      </c>
    </row>
    <row r="90" spans="1:5">
      <c r="A90" s="7" t="s">
        <v>1493</v>
      </c>
      <c r="B90" s="3" t="s">
        <v>1494</v>
      </c>
      <c r="C90" s="3" t="s">
        <v>1494</v>
      </c>
      <c r="D90" s="4">
        <v>9999999</v>
      </c>
      <c r="E90" s="4">
        <v>0.1</v>
      </c>
    </row>
    <row r="91" spans="1:5">
      <c r="A91" s="7" t="s">
        <v>1495</v>
      </c>
      <c r="B91" s="3" t="s">
        <v>1496</v>
      </c>
      <c r="C91" s="3" t="s">
        <v>1496</v>
      </c>
      <c r="D91" s="4">
        <v>9999999</v>
      </c>
      <c r="E91" s="4">
        <v>0.1</v>
      </c>
    </row>
    <row r="92" spans="1:5">
      <c r="A92" s="7" t="s">
        <v>1497</v>
      </c>
      <c r="B92" s="3" t="s">
        <v>1498</v>
      </c>
      <c r="C92" s="3" t="s">
        <v>1498</v>
      </c>
      <c r="D92" s="4">
        <v>9999999</v>
      </c>
      <c r="E92" s="4">
        <v>0.1</v>
      </c>
    </row>
    <row r="93" spans="1:5">
      <c r="A93" s="7" t="s">
        <v>1499</v>
      </c>
      <c r="B93" s="3" t="s">
        <v>1500</v>
      </c>
      <c r="C93" s="3" t="s">
        <v>1500</v>
      </c>
      <c r="D93" s="4">
        <v>9999999</v>
      </c>
      <c r="E93" s="4">
        <v>0.1</v>
      </c>
    </row>
    <row r="94" spans="1:5">
      <c r="A94" s="7" t="s">
        <v>1501</v>
      </c>
      <c r="B94" s="3" t="s">
        <v>1502</v>
      </c>
      <c r="C94" s="3" t="s">
        <v>1502</v>
      </c>
      <c r="D94" s="4">
        <v>9999999</v>
      </c>
      <c r="E94" s="4">
        <v>0.1</v>
      </c>
    </row>
    <row r="95" spans="1:5">
      <c r="A95" s="7" t="s">
        <v>1503</v>
      </c>
      <c r="B95" s="3" t="s">
        <v>1504</v>
      </c>
      <c r="C95" s="3" t="s">
        <v>1504</v>
      </c>
      <c r="D95" s="4">
        <v>9999999</v>
      </c>
      <c r="E95" s="4">
        <v>0.1</v>
      </c>
    </row>
    <row r="96" spans="1:5">
      <c r="A96" s="7" t="s">
        <v>1505</v>
      </c>
      <c r="B96" s="3" t="s">
        <v>1506</v>
      </c>
      <c r="C96" s="3" t="s">
        <v>1506</v>
      </c>
      <c r="D96" s="4">
        <v>9999999</v>
      </c>
      <c r="E96" s="4">
        <v>0.1</v>
      </c>
    </row>
    <row r="97" spans="1:5">
      <c r="A97" s="7" t="s">
        <v>1507</v>
      </c>
      <c r="B97" s="3" t="s">
        <v>1508</v>
      </c>
      <c r="C97" s="3" t="s">
        <v>1508</v>
      </c>
      <c r="D97" s="4">
        <v>9999999</v>
      </c>
      <c r="E97" s="4">
        <v>0.1</v>
      </c>
    </row>
    <row r="98" spans="1:5">
      <c r="A98" s="7" t="s">
        <v>1509</v>
      </c>
      <c r="B98" s="3" t="s">
        <v>1510</v>
      </c>
      <c r="C98" s="3" t="s">
        <v>1510</v>
      </c>
      <c r="D98" s="4">
        <v>9999999</v>
      </c>
      <c r="E98" s="4">
        <v>0.1</v>
      </c>
    </row>
    <row r="99" spans="1:5">
      <c r="A99" s="7" t="s">
        <v>1511</v>
      </c>
      <c r="B99" s="3" t="s">
        <v>1512</v>
      </c>
      <c r="C99" s="3" t="s">
        <v>1512</v>
      </c>
      <c r="D99" s="4">
        <v>9999999</v>
      </c>
      <c r="E99" s="4">
        <v>0.1</v>
      </c>
    </row>
    <row r="100" spans="1:5">
      <c r="A100" s="7" t="s">
        <v>1513</v>
      </c>
      <c r="B100" s="3" t="s">
        <v>1514</v>
      </c>
      <c r="C100" s="3" t="s">
        <v>1514</v>
      </c>
      <c r="D100" s="4">
        <v>9999999</v>
      </c>
      <c r="E100" s="4">
        <v>0.1</v>
      </c>
    </row>
    <row r="101" spans="1:5">
      <c r="A101" s="7" t="s">
        <v>1515</v>
      </c>
      <c r="B101" s="3" t="s">
        <v>1516</v>
      </c>
      <c r="C101" s="3" t="s">
        <v>1516</v>
      </c>
      <c r="D101" s="4">
        <v>9999999</v>
      </c>
      <c r="E101" s="4">
        <v>0.1</v>
      </c>
    </row>
    <row r="102" spans="1:5">
      <c r="A102" s="7" t="s">
        <v>1517</v>
      </c>
      <c r="B102" s="3" t="s">
        <v>1518</v>
      </c>
      <c r="C102" s="3" t="s">
        <v>1518</v>
      </c>
      <c r="D102" s="4">
        <v>9999999</v>
      </c>
      <c r="E102" s="4">
        <v>0.1</v>
      </c>
    </row>
    <row r="103" spans="1:5">
      <c r="A103" s="7" t="s">
        <v>1519</v>
      </c>
      <c r="B103" s="3" t="s">
        <v>1520</v>
      </c>
      <c r="C103" s="3" t="s">
        <v>1520</v>
      </c>
      <c r="D103" s="4">
        <v>9999999</v>
      </c>
      <c r="E103" s="4">
        <v>0.1</v>
      </c>
    </row>
    <row r="104" spans="1:5">
      <c r="A104" s="7" t="s">
        <v>1521</v>
      </c>
      <c r="B104" s="3" t="s">
        <v>1522</v>
      </c>
      <c r="C104" s="3" t="s">
        <v>1522</v>
      </c>
      <c r="D104" s="4">
        <v>9999999</v>
      </c>
      <c r="E104" s="4">
        <v>0.1</v>
      </c>
    </row>
    <row r="105" spans="1:5">
      <c r="A105" s="7" t="s">
        <v>1523</v>
      </c>
      <c r="B105" s="3" t="s">
        <v>1524</v>
      </c>
      <c r="C105" s="3" t="s">
        <v>1524</v>
      </c>
      <c r="D105" s="4">
        <v>9999999</v>
      </c>
      <c r="E105" s="4">
        <v>0.1</v>
      </c>
    </row>
    <row r="106" spans="1:5">
      <c r="A106" s="7" t="s">
        <v>1525</v>
      </c>
      <c r="B106" s="3" t="s">
        <v>1526</v>
      </c>
      <c r="C106" s="3" t="s">
        <v>1526</v>
      </c>
      <c r="D106" s="4">
        <v>9999999</v>
      </c>
      <c r="E106" s="4">
        <v>0.1</v>
      </c>
    </row>
    <row r="107" spans="1:5">
      <c r="A107" s="7" t="s">
        <v>1527</v>
      </c>
      <c r="B107" s="3" t="s">
        <v>1528</v>
      </c>
      <c r="C107" s="3" t="s">
        <v>1528</v>
      </c>
      <c r="D107" s="4">
        <v>9999999</v>
      </c>
      <c r="E107" s="4">
        <v>0.1</v>
      </c>
    </row>
    <row r="108" spans="1:5">
      <c r="A108" s="7" t="s">
        <v>1529</v>
      </c>
      <c r="B108" s="3" t="s">
        <v>1530</v>
      </c>
      <c r="C108" s="3" t="s">
        <v>1530</v>
      </c>
      <c r="D108" s="4">
        <v>9999999</v>
      </c>
      <c r="E108" s="4">
        <v>0.1</v>
      </c>
    </row>
    <row r="109" spans="1:5">
      <c r="A109" s="7" t="s">
        <v>1531</v>
      </c>
      <c r="B109" s="3" t="s">
        <v>1532</v>
      </c>
      <c r="C109" s="3" t="s">
        <v>1532</v>
      </c>
      <c r="D109" s="4">
        <v>9999999</v>
      </c>
      <c r="E109" s="4">
        <v>0.1</v>
      </c>
    </row>
    <row r="110" spans="1:5">
      <c r="A110" s="7" t="s">
        <v>1533</v>
      </c>
      <c r="B110" s="3" t="s">
        <v>1534</v>
      </c>
      <c r="C110" s="3" t="s">
        <v>1534</v>
      </c>
      <c r="D110" s="4">
        <v>9999999</v>
      </c>
      <c r="E110" s="4">
        <v>0.1</v>
      </c>
    </row>
    <row r="111" spans="1:5">
      <c r="A111" s="7" t="s">
        <v>1535</v>
      </c>
      <c r="B111" s="3" t="s">
        <v>1536</v>
      </c>
      <c r="C111" s="3" t="s">
        <v>1536</v>
      </c>
      <c r="D111" s="4">
        <v>9999999</v>
      </c>
      <c r="E111" s="4">
        <v>0.1</v>
      </c>
    </row>
    <row r="112" spans="1:5">
      <c r="A112" s="7" t="s">
        <v>1537</v>
      </c>
      <c r="B112" s="3" t="s">
        <v>1538</v>
      </c>
      <c r="C112" s="3" t="s">
        <v>1539</v>
      </c>
      <c r="D112" s="4">
        <v>9999999</v>
      </c>
      <c r="E112" s="4">
        <v>0.1</v>
      </c>
    </row>
    <row r="113" spans="1:5">
      <c r="A113" s="7" t="s">
        <v>1540</v>
      </c>
      <c r="B113" s="3" t="s">
        <v>1541</v>
      </c>
      <c r="C113" s="3" t="s">
        <v>1541</v>
      </c>
      <c r="D113" s="4">
        <v>9999999</v>
      </c>
      <c r="E113" s="4">
        <v>0.1</v>
      </c>
    </row>
    <row r="114" spans="1:5">
      <c r="A114" s="7" t="s">
        <v>1542</v>
      </c>
      <c r="B114" s="3" t="s">
        <v>1543</v>
      </c>
      <c r="C114" s="3" t="s">
        <v>1543</v>
      </c>
      <c r="D114" s="4">
        <v>9999999</v>
      </c>
      <c r="E114" s="4">
        <v>0.1</v>
      </c>
    </row>
    <row r="115" spans="1:5">
      <c r="A115" s="7" t="s">
        <v>1544</v>
      </c>
      <c r="B115" s="3" t="s">
        <v>1545</v>
      </c>
      <c r="C115" s="3" t="s">
        <v>1545</v>
      </c>
      <c r="D115" s="4">
        <v>9999999</v>
      </c>
      <c r="E115" s="4">
        <v>0.1</v>
      </c>
    </row>
    <row r="116" spans="1:5">
      <c r="A116" s="7" t="s">
        <v>1546</v>
      </c>
      <c r="B116" s="3" t="s">
        <v>1547</v>
      </c>
      <c r="C116" s="3" t="s">
        <v>1547</v>
      </c>
      <c r="D116" s="4">
        <v>9999999</v>
      </c>
      <c r="E116" s="4">
        <v>0.1</v>
      </c>
    </row>
    <row r="117" spans="1:5">
      <c r="A117" s="7" t="s">
        <v>1548</v>
      </c>
      <c r="B117" s="3" t="s">
        <v>1549</v>
      </c>
      <c r="C117" s="3" t="s">
        <v>1549</v>
      </c>
      <c r="D117" s="4">
        <v>9999999</v>
      </c>
      <c r="E117" s="4">
        <v>0.1</v>
      </c>
    </row>
    <row r="118" spans="1:5">
      <c r="A118" s="7" t="s">
        <v>1550</v>
      </c>
      <c r="B118" s="3" t="s">
        <v>1551</v>
      </c>
      <c r="C118" s="3" t="s">
        <v>1551</v>
      </c>
      <c r="D118" s="4">
        <v>9999999</v>
      </c>
      <c r="E118" s="4">
        <v>0.1</v>
      </c>
    </row>
    <row r="119" spans="1:5">
      <c r="A119" s="7" t="s">
        <v>1552</v>
      </c>
      <c r="B119" s="3" t="s">
        <v>1553</v>
      </c>
      <c r="C119" s="3" t="s">
        <v>1553</v>
      </c>
      <c r="D119" s="4">
        <v>9999999</v>
      </c>
      <c r="E119" s="4">
        <v>0.1</v>
      </c>
    </row>
    <row r="120" spans="1:5">
      <c r="A120" s="7" t="s">
        <v>1554</v>
      </c>
      <c r="B120" s="3" t="s">
        <v>1555</v>
      </c>
      <c r="C120" s="3" t="s">
        <v>1555</v>
      </c>
      <c r="D120" s="4">
        <v>9999999</v>
      </c>
      <c r="E120" s="4">
        <v>0.1</v>
      </c>
    </row>
    <row r="121" spans="1:5">
      <c r="A121" s="7" t="s">
        <v>1556</v>
      </c>
      <c r="B121" s="3" t="s">
        <v>1557</v>
      </c>
      <c r="C121" s="3" t="s">
        <v>1557</v>
      </c>
      <c r="D121" s="4">
        <v>9999999</v>
      </c>
      <c r="E121" s="4">
        <v>0.1</v>
      </c>
    </row>
    <row r="122" spans="1:5">
      <c r="A122" s="7" t="s">
        <v>1558</v>
      </c>
      <c r="B122" s="3" t="s">
        <v>1559</v>
      </c>
      <c r="C122" s="3" t="s">
        <v>1560</v>
      </c>
      <c r="D122" s="4">
        <v>9999999</v>
      </c>
      <c r="E122" s="4">
        <v>0.1</v>
      </c>
    </row>
    <row r="123" spans="1:5">
      <c r="A123" s="7" t="s">
        <v>1561</v>
      </c>
      <c r="B123" s="3" t="s">
        <v>1562</v>
      </c>
      <c r="C123" s="3" t="s">
        <v>1562</v>
      </c>
      <c r="D123" s="4">
        <v>9999999</v>
      </c>
      <c r="E123" s="4">
        <v>0.1</v>
      </c>
    </row>
    <row r="124" spans="1:5">
      <c r="A124" s="7" t="s">
        <v>1563</v>
      </c>
      <c r="B124" s="3" t="s">
        <v>1564</v>
      </c>
      <c r="C124" s="3" t="s">
        <v>1564</v>
      </c>
      <c r="D124" s="4">
        <v>9999999</v>
      </c>
      <c r="E124" s="4">
        <v>0.1</v>
      </c>
    </row>
    <row r="125" spans="1:5">
      <c r="A125" s="7" t="s">
        <v>1565</v>
      </c>
      <c r="B125" s="3" t="s">
        <v>1566</v>
      </c>
      <c r="C125" s="3" t="s">
        <v>1566</v>
      </c>
      <c r="D125" s="4">
        <v>9999999</v>
      </c>
      <c r="E125" s="4">
        <v>0.1</v>
      </c>
    </row>
    <row r="126" spans="1:5">
      <c r="A126" s="7" t="s">
        <v>1567</v>
      </c>
      <c r="B126" s="3" t="s">
        <v>1568</v>
      </c>
      <c r="C126" s="3" t="s">
        <v>1568</v>
      </c>
      <c r="D126" s="4">
        <v>9999999</v>
      </c>
      <c r="E126" s="4">
        <v>0.1</v>
      </c>
    </row>
    <row r="127" spans="1:5">
      <c r="A127" s="7" t="s">
        <v>1569</v>
      </c>
      <c r="B127" s="3" t="s">
        <v>1570</v>
      </c>
      <c r="C127" s="3" t="s">
        <v>1570</v>
      </c>
      <c r="D127" s="4">
        <v>9999999</v>
      </c>
      <c r="E127" s="4">
        <v>0.1</v>
      </c>
    </row>
    <row r="128" spans="1:5">
      <c r="A128" s="7" t="s">
        <v>1571</v>
      </c>
      <c r="B128" s="3" t="s">
        <v>1572</v>
      </c>
      <c r="C128" s="3" t="s">
        <v>1572</v>
      </c>
      <c r="D128" s="4">
        <v>9999999</v>
      </c>
      <c r="E128" s="4">
        <v>0.1</v>
      </c>
    </row>
    <row r="129" spans="1:5">
      <c r="A129" s="7" t="s">
        <v>1573</v>
      </c>
      <c r="B129" s="3" t="s">
        <v>1574</v>
      </c>
      <c r="C129" s="3" t="s">
        <v>1574</v>
      </c>
      <c r="D129" s="4">
        <v>9999999</v>
      </c>
      <c r="E129" s="4">
        <v>0.1</v>
      </c>
    </row>
    <row r="130" spans="1:5">
      <c r="A130" s="7" t="s">
        <v>1575</v>
      </c>
      <c r="B130" s="3" t="s">
        <v>1576</v>
      </c>
      <c r="C130" s="3" t="s">
        <v>1576</v>
      </c>
      <c r="D130" s="4">
        <v>9999999</v>
      </c>
      <c r="E130" s="4">
        <v>0.1</v>
      </c>
    </row>
    <row r="131" spans="1:5">
      <c r="A131" s="7" t="s">
        <v>1577</v>
      </c>
      <c r="B131" s="3" t="s">
        <v>1578</v>
      </c>
      <c r="C131" s="3" t="s">
        <v>1578</v>
      </c>
      <c r="D131" s="4">
        <v>9999999</v>
      </c>
      <c r="E131" s="4">
        <v>0.1</v>
      </c>
    </row>
    <row r="132" spans="1:5">
      <c r="A132" s="7" t="s">
        <v>1579</v>
      </c>
      <c r="B132" s="3" t="s">
        <v>1580</v>
      </c>
      <c r="C132" s="3" t="s">
        <v>1580</v>
      </c>
      <c r="D132" s="4">
        <v>9999999</v>
      </c>
      <c r="E132" s="4">
        <v>0.1</v>
      </c>
    </row>
    <row r="133" spans="1:5">
      <c r="A133" s="7" t="s">
        <v>1581</v>
      </c>
      <c r="B133" s="3" t="s">
        <v>1582</v>
      </c>
      <c r="C133" s="3" t="s">
        <v>1582</v>
      </c>
      <c r="D133" s="4">
        <v>9999999</v>
      </c>
      <c r="E133" s="4">
        <v>0.1</v>
      </c>
    </row>
    <row r="134" spans="1:5">
      <c r="A134" s="7" t="s">
        <v>1583</v>
      </c>
      <c r="B134" s="3" t="s">
        <v>1584</v>
      </c>
      <c r="C134" s="3" t="s">
        <v>1584</v>
      </c>
      <c r="D134" s="4">
        <v>9999999</v>
      </c>
      <c r="E134" s="4">
        <v>0.1</v>
      </c>
    </row>
    <row r="135" spans="1:5">
      <c r="A135" s="7" t="s">
        <v>1585</v>
      </c>
      <c r="B135" s="3" t="s">
        <v>1586</v>
      </c>
      <c r="C135" s="3" t="s">
        <v>1586</v>
      </c>
      <c r="D135" s="4">
        <v>9999999</v>
      </c>
      <c r="E135" s="4">
        <v>0.1</v>
      </c>
    </row>
    <row r="136" spans="1:5">
      <c r="A136" s="7" t="s">
        <v>1587</v>
      </c>
      <c r="B136" s="3" t="s">
        <v>1588</v>
      </c>
      <c r="C136" s="3" t="s">
        <v>1588</v>
      </c>
      <c r="D136" s="4">
        <v>9999999</v>
      </c>
      <c r="E136" s="4">
        <v>0.1</v>
      </c>
    </row>
    <row r="137" spans="1:5">
      <c r="A137" s="7" t="s">
        <v>1589</v>
      </c>
      <c r="B137" s="3" t="s">
        <v>1590</v>
      </c>
      <c r="C137" s="3" t="s">
        <v>1590</v>
      </c>
      <c r="D137" s="4">
        <v>9999999</v>
      </c>
      <c r="E137" s="4">
        <v>0.1</v>
      </c>
    </row>
    <row r="138" spans="1:5">
      <c r="A138" s="7" t="s">
        <v>1591</v>
      </c>
      <c r="B138" s="3" t="s">
        <v>1592</v>
      </c>
      <c r="C138" s="3" t="s">
        <v>1592</v>
      </c>
      <c r="D138" s="4">
        <v>9999999</v>
      </c>
      <c r="E138" s="4">
        <v>0.1</v>
      </c>
    </row>
    <row r="139" spans="1:5">
      <c r="A139" s="7" t="s">
        <v>1593</v>
      </c>
      <c r="B139" s="3" t="s">
        <v>1594</v>
      </c>
      <c r="C139" s="3" t="s">
        <v>1594</v>
      </c>
      <c r="D139" s="4">
        <v>9999999</v>
      </c>
      <c r="E139" s="4">
        <v>0.1</v>
      </c>
    </row>
    <row r="140" spans="1:5">
      <c r="A140" s="7" t="s">
        <v>1595</v>
      </c>
      <c r="B140" s="3" t="s">
        <v>1596</v>
      </c>
      <c r="C140" s="3" t="s">
        <v>1596</v>
      </c>
      <c r="D140" s="4">
        <v>9999999</v>
      </c>
      <c r="E140" s="4">
        <v>0.1</v>
      </c>
    </row>
    <row r="141" spans="1:5">
      <c r="A141" s="7" t="s">
        <v>1597</v>
      </c>
      <c r="B141" s="3" t="s">
        <v>1598</v>
      </c>
      <c r="C141" s="3" t="s">
        <v>1598</v>
      </c>
      <c r="D141" s="4">
        <v>9999999</v>
      </c>
      <c r="E141" s="4">
        <v>0.1</v>
      </c>
    </row>
    <row r="142" spans="1:5">
      <c r="A142" s="7" t="s">
        <v>1599</v>
      </c>
      <c r="B142" s="3" t="s">
        <v>1600</v>
      </c>
      <c r="C142" s="3" t="s">
        <v>1600</v>
      </c>
      <c r="D142" s="4">
        <v>9999999</v>
      </c>
      <c r="E142" s="4">
        <v>0.1</v>
      </c>
    </row>
    <row r="143" spans="1:5">
      <c r="A143" s="7" t="s">
        <v>1601</v>
      </c>
      <c r="B143" s="3" t="s">
        <v>1602</v>
      </c>
      <c r="C143" s="3" t="s">
        <v>1602</v>
      </c>
      <c r="D143" s="4">
        <v>9999999</v>
      </c>
      <c r="E143" s="4">
        <v>0.1</v>
      </c>
    </row>
    <row r="144" spans="1:5">
      <c r="A144" s="7" t="s">
        <v>1603</v>
      </c>
      <c r="B144" s="3" t="s">
        <v>1604</v>
      </c>
      <c r="C144" s="3" t="s">
        <v>1604</v>
      </c>
      <c r="D144" s="4">
        <v>9999999</v>
      </c>
      <c r="E144" s="4">
        <v>0.1</v>
      </c>
    </row>
    <row r="145" spans="1:5">
      <c r="A145" s="7" t="s">
        <v>1605</v>
      </c>
      <c r="B145" s="3" t="s">
        <v>1606</v>
      </c>
      <c r="C145" s="3" t="s">
        <v>1606</v>
      </c>
      <c r="D145" s="4">
        <v>9999999</v>
      </c>
      <c r="E145" s="4">
        <v>0.1</v>
      </c>
    </row>
    <row r="146" spans="1:5">
      <c r="A146" s="7" t="s">
        <v>1607</v>
      </c>
      <c r="B146" s="3" t="s">
        <v>1608</v>
      </c>
      <c r="C146" s="3" t="s">
        <v>1608</v>
      </c>
      <c r="D146" s="4">
        <v>9999999</v>
      </c>
      <c r="E146" s="4">
        <v>0.1</v>
      </c>
    </row>
    <row r="147" spans="1:5">
      <c r="A147" s="7" t="s">
        <v>1609</v>
      </c>
      <c r="B147" s="3" t="s">
        <v>1610</v>
      </c>
      <c r="C147" s="3" t="s">
        <v>1610</v>
      </c>
      <c r="D147" s="4">
        <v>9999999</v>
      </c>
      <c r="E147" s="4">
        <v>0.1</v>
      </c>
    </row>
    <row r="148" spans="1:5">
      <c r="A148" s="7" t="s">
        <v>1611</v>
      </c>
      <c r="B148" s="3" t="s">
        <v>1612</v>
      </c>
      <c r="C148" s="3" t="s">
        <v>1612</v>
      </c>
      <c r="D148" s="4">
        <v>9999999</v>
      </c>
      <c r="E148" s="4">
        <v>0.1</v>
      </c>
    </row>
    <row r="149" spans="1:5">
      <c r="A149" s="7" t="s">
        <v>1613</v>
      </c>
      <c r="B149" s="3" t="s">
        <v>1614</v>
      </c>
      <c r="C149" s="3" t="s">
        <v>1614</v>
      </c>
      <c r="D149" s="4">
        <v>9999999</v>
      </c>
      <c r="E149" s="4">
        <v>0.1</v>
      </c>
    </row>
    <row r="150" spans="1:5">
      <c r="A150" s="7" t="s">
        <v>1615</v>
      </c>
      <c r="B150" s="3" t="s">
        <v>1616</v>
      </c>
      <c r="C150" s="3" t="s">
        <v>1616</v>
      </c>
      <c r="D150" s="4">
        <v>9999999</v>
      </c>
      <c r="E150" s="4">
        <v>0.1</v>
      </c>
    </row>
    <row r="151" spans="1:5">
      <c r="A151" s="7" t="s">
        <v>1617</v>
      </c>
      <c r="B151" s="3" t="s">
        <v>1618</v>
      </c>
      <c r="C151" s="3" t="s">
        <v>1618</v>
      </c>
      <c r="D151" s="4">
        <v>9999999</v>
      </c>
      <c r="E151" s="4">
        <v>0.1</v>
      </c>
    </row>
    <row r="152" spans="1:5">
      <c r="A152" s="7" t="s">
        <v>1619</v>
      </c>
      <c r="B152" s="3" t="s">
        <v>1620</v>
      </c>
      <c r="C152" s="3" t="s">
        <v>1620</v>
      </c>
      <c r="D152" s="4">
        <v>9999999</v>
      </c>
      <c r="E152" s="4">
        <v>0.1</v>
      </c>
    </row>
    <row r="153" spans="1:5">
      <c r="A153" s="7" t="s">
        <v>1621</v>
      </c>
      <c r="B153" s="3" t="s">
        <v>1622</v>
      </c>
      <c r="C153" s="3" t="s">
        <v>1622</v>
      </c>
      <c r="D153" s="4">
        <v>9999999</v>
      </c>
      <c r="E153" s="4">
        <v>0.1</v>
      </c>
    </row>
    <row r="154" spans="1:5">
      <c r="A154" s="7" t="s">
        <v>1623</v>
      </c>
      <c r="B154" s="3" t="s">
        <v>1624</v>
      </c>
      <c r="C154" s="3" t="s">
        <v>1624</v>
      </c>
      <c r="D154" s="4">
        <v>9999999</v>
      </c>
      <c r="E154" s="4">
        <v>0.1</v>
      </c>
    </row>
    <row r="155" spans="1:5">
      <c r="A155" s="7" t="s">
        <v>1625</v>
      </c>
      <c r="B155" s="3" t="s">
        <v>1626</v>
      </c>
      <c r="C155" s="3" t="s">
        <v>1626</v>
      </c>
      <c r="D155" s="4">
        <v>9999999</v>
      </c>
      <c r="E155" s="4">
        <v>0.1</v>
      </c>
    </row>
    <row r="156" spans="1:5">
      <c r="A156" s="7" t="s">
        <v>1627</v>
      </c>
      <c r="B156" s="3" t="s">
        <v>1628</v>
      </c>
      <c r="C156" s="3" t="s">
        <v>1628</v>
      </c>
      <c r="D156" s="4">
        <v>9999999</v>
      </c>
      <c r="E156" s="4">
        <v>0.1</v>
      </c>
    </row>
    <row r="157" spans="1:5">
      <c r="A157" s="7" t="s">
        <v>1629</v>
      </c>
      <c r="B157" s="3" t="s">
        <v>1630</v>
      </c>
      <c r="C157" s="3" t="s">
        <v>1630</v>
      </c>
      <c r="D157" s="4">
        <v>9999999</v>
      </c>
      <c r="E157" s="4">
        <v>0.1</v>
      </c>
    </row>
    <row r="158" spans="1:5">
      <c r="A158" s="7" t="s">
        <v>1631</v>
      </c>
      <c r="B158" s="3" t="s">
        <v>1632</v>
      </c>
      <c r="C158" s="3" t="s">
        <v>1632</v>
      </c>
      <c r="D158" s="4">
        <v>9999999</v>
      </c>
      <c r="E158" s="4">
        <v>0.1</v>
      </c>
    </row>
    <row r="159" spans="1:5">
      <c r="A159" s="7" t="s">
        <v>1633</v>
      </c>
      <c r="B159" s="3" t="s">
        <v>1634</v>
      </c>
      <c r="C159" s="3" t="s">
        <v>1634</v>
      </c>
      <c r="D159" s="4">
        <v>9999999</v>
      </c>
      <c r="E159" s="4">
        <v>0.1</v>
      </c>
    </row>
    <row r="160" spans="1:5">
      <c r="A160" s="7" t="s">
        <v>1635</v>
      </c>
      <c r="B160" s="3" t="s">
        <v>1636</v>
      </c>
      <c r="C160" s="3" t="s">
        <v>1636</v>
      </c>
      <c r="D160" s="4">
        <v>9999999</v>
      </c>
      <c r="E160" s="4">
        <v>0.1</v>
      </c>
    </row>
    <row r="161" spans="1:5">
      <c r="A161" s="7" t="s">
        <v>1637</v>
      </c>
      <c r="B161" s="3" t="s">
        <v>1638</v>
      </c>
      <c r="C161" s="3" t="s">
        <v>1638</v>
      </c>
      <c r="D161" s="4">
        <v>9999999</v>
      </c>
      <c r="E161" s="4">
        <v>0.1</v>
      </c>
    </row>
    <row r="162" spans="1:5">
      <c r="A162" s="7" t="s">
        <v>1639</v>
      </c>
      <c r="B162" s="3" t="s">
        <v>1640</v>
      </c>
      <c r="C162" s="3" t="s">
        <v>1640</v>
      </c>
      <c r="D162" s="4">
        <v>9999999</v>
      </c>
      <c r="E162" s="4">
        <v>0.1</v>
      </c>
    </row>
    <row r="163" spans="1:5">
      <c r="A163" s="7" t="s">
        <v>1641</v>
      </c>
      <c r="B163" s="3" t="s">
        <v>1642</v>
      </c>
      <c r="C163" s="3" t="s">
        <v>1642</v>
      </c>
      <c r="D163" s="4">
        <v>9999999</v>
      </c>
      <c r="E163" s="4">
        <v>0.1</v>
      </c>
    </row>
    <row r="164" spans="1:5">
      <c r="A164" s="7" t="s">
        <v>1643</v>
      </c>
      <c r="B164" s="3" t="s">
        <v>1644</v>
      </c>
      <c r="C164" s="3" t="s">
        <v>1644</v>
      </c>
      <c r="D164" s="4">
        <v>9999999</v>
      </c>
      <c r="E164" s="4">
        <v>0.1</v>
      </c>
    </row>
    <row r="165" spans="1:5">
      <c r="A165" s="7" t="s">
        <v>1645</v>
      </c>
      <c r="B165" s="3" t="s">
        <v>1646</v>
      </c>
      <c r="C165" s="3" t="s">
        <v>1646</v>
      </c>
      <c r="D165" s="4">
        <v>9999999</v>
      </c>
      <c r="E165" s="4">
        <v>0.1</v>
      </c>
    </row>
    <row r="166" spans="1:5">
      <c r="A166" s="7" t="s">
        <v>1647</v>
      </c>
      <c r="B166" s="3" t="s">
        <v>1648</v>
      </c>
      <c r="C166" s="3" t="s">
        <v>1648</v>
      </c>
      <c r="D166" s="4">
        <v>9999999</v>
      </c>
      <c r="E166" s="4">
        <v>0.1</v>
      </c>
    </row>
    <row r="167" spans="1:5">
      <c r="A167" s="7" t="s">
        <v>1649</v>
      </c>
      <c r="B167" s="3" t="s">
        <v>1650</v>
      </c>
      <c r="C167" s="3" t="s">
        <v>1650</v>
      </c>
      <c r="D167" s="4">
        <v>9999999</v>
      </c>
      <c r="E167" s="4">
        <v>0.1</v>
      </c>
    </row>
    <row r="168" spans="1:5">
      <c r="A168" s="7" t="s">
        <v>1651</v>
      </c>
      <c r="B168" s="3" t="s">
        <v>1652</v>
      </c>
      <c r="C168" s="3" t="s">
        <v>1652</v>
      </c>
      <c r="D168" s="4">
        <v>9999999</v>
      </c>
      <c r="E168" s="4">
        <v>0.1</v>
      </c>
    </row>
    <row r="169" spans="1:5">
      <c r="A169" s="7" t="s">
        <v>1653</v>
      </c>
      <c r="B169" s="3" t="s">
        <v>1654</v>
      </c>
      <c r="C169" s="3" t="s">
        <v>1654</v>
      </c>
      <c r="D169" s="4">
        <v>9999999</v>
      </c>
      <c r="E169" s="4">
        <v>0.1</v>
      </c>
    </row>
    <row r="170" spans="1:5">
      <c r="A170" s="7" t="s">
        <v>1655</v>
      </c>
      <c r="B170" s="3" t="s">
        <v>1656</v>
      </c>
      <c r="C170" s="3" t="s">
        <v>1656</v>
      </c>
      <c r="D170" s="4">
        <v>9999999</v>
      </c>
      <c r="E170" s="4">
        <v>0.1</v>
      </c>
    </row>
    <row r="171" spans="1:5">
      <c r="A171" s="7" t="s">
        <v>1657</v>
      </c>
      <c r="B171" s="3" t="s">
        <v>1658</v>
      </c>
      <c r="C171" s="3" t="s">
        <v>1658</v>
      </c>
      <c r="D171" s="4">
        <v>9999999</v>
      </c>
      <c r="E171" s="4">
        <v>0.1</v>
      </c>
    </row>
    <row r="172" spans="1:5">
      <c r="A172" s="7" t="s">
        <v>1659</v>
      </c>
      <c r="B172" s="3" t="s">
        <v>1660</v>
      </c>
      <c r="C172" s="3" t="s">
        <v>1660</v>
      </c>
      <c r="D172" s="4">
        <v>9999999</v>
      </c>
      <c r="E172" s="4">
        <v>0.1</v>
      </c>
    </row>
    <row r="173" spans="1:5">
      <c r="A173" s="7" t="s">
        <v>1661</v>
      </c>
      <c r="B173" s="3" t="s">
        <v>1662</v>
      </c>
      <c r="C173" s="3" t="s">
        <v>1662</v>
      </c>
      <c r="D173" s="4">
        <v>9999999</v>
      </c>
      <c r="E173" s="4">
        <v>0.1</v>
      </c>
    </row>
    <row r="174" spans="1:5">
      <c r="A174" s="7" t="s">
        <v>1663</v>
      </c>
      <c r="B174" s="3" t="s">
        <v>1664</v>
      </c>
      <c r="C174" s="3" t="s">
        <v>1664</v>
      </c>
      <c r="D174" s="4">
        <v>9999999</v>
      </c>
      <c r="E174" s="4">
        <v>0.1</v>
      </c>
    </row>
    <row r="175" spans="1:5">
      <c r="A175" s="7" t="s">
        <v>1665</v>
      </c>
      <c r="B175" s="3" t="s">
        <v>1666</v>
      </c>
      <c r="C175" s="3" t="s">
        <v>1666</v>
      </c>
      <c r="D175" s="4">
        <v>9999999</v>
      </c>
      <c r="E175" s="4">
        <v>0.1</v>
      </c>
    </row>
    <row r="176" spans="1:5">
      <c r="A176" s="7" t="s">
        <v>1667</v>
      </c>
      <c r="B176" s="3" t="s">
        <v>1668</v>
      </c>
      <c r="C176" s="3" t="s">
        <v>1668</v>
      </c>
      <c r="D176" s="4">
        <v>9999999</v>
      </c>
      <c r="E176" s="4">
        <v>0.1</v>
      </c>
    </row>
    <row r="177" spans="1:5">
      <c r="A177" s="7" t="s">
        <v>1669</v>
      </c>
      <c r="B177" s="3" t="s">
        <v>1670</v>
      </c>
      <c r="C177" s="3" t="s">
        <v>1670</v>
      </c>
      <c r="D177" s="4">
        <v>9999999</v>
      </c>
      <c r="E177" s="4">
        <v>0.1</v>
      </c>
    </row>
    <row r="178" spans="1:5">
      <c r="A178" s="7" t="s">
        <v>1671</v>
      </c>
      <c r="B178" s="3" t="s">
        <v>1672</v>
      </c>
      <c r="C178" s="3" t="s">
        <v>1672</v>
      </c>
      <c r="D178" s="4">
        <v>9999999</v>
      </c>
      <c r="E178" s="4">
        <v>0.1</v>
      </c>
    </row>
    <row r="179" spans="1:5">
      <c r="A179" s="7" t="s">
        <v>1673</v>
      </c>
      <c r="B179" s="3" t="s">
        <v>1674</v>
      </c>
      <c r="C179" s="3" t="s">
        <v>1674</v>
      </c>
      <c r="D179" s="4">
        <v>9999999</v>
      </c>
      <c r="E179" s="4">
        <v>0.1</v>
      </c>
    </row>
    <row r="180" spans="1:5">
      <c r="A180" s="7" t="s">
        <v>1675</v>
      </c>
      <c r="B180" s="3" t="s">
        <v>1676</v>
      </c>
      <c r="C180" s="3" t="s">
        <v>1676</v>
      </c>
      <c r="D180" s="4">
        <v>9999999</v>
      </c>
      <c r="E180" s="4">
        <v>0.1</v>
      </c>
    </row>
    <row r="181" spans="1:5">
      <c r="A181" s="7" t="s">
        <v>1677</v>
      </c>
      <c r="B181" s="3" t="s">
        <v>1678</v>
      </c>
      <c r="C181" s="3" t="s">
        <v>1678</v>
      </c>
      <c r="D181" s="4">
        <v>9999999</v>
      </c>
      <c r="E181" s="4">
        <v>0.1</v>
      </c>
    </row>
    <row r="182" spans="1:5">
      <c r="A182" s="7" t="s">
        <v>1679</v>
      </c>
      <c r="B182" s="3" t="s">
        <v>1680</v>
      </c>
      <c r="C182" s="3" t="s">
        <v>1680</v>
      </c>
      <c r="D182" s="4">
        <v>9999999</v>
      </c>
      <c r="E182" s="4">
        <v>0.1</v>
      </c>
    </row>
    <row r="183" spans="1:5">
      <c r="A183" s="7" t="s">
        <v>1681</v>
      </c>
      <c r="B183" s="3" t="s">
        <v>1682</v>
      </c>
      <c r="C183" s="3" t="s">
        <v>1682</v>
      </c>
      <c r="D183" s="4">
        <v>9999999</v>
      </c>
      <c r="E183" s="4">
        <v>0.1</v>
      </c>
    </row>
    <row r="184" spans="1:5">
      <c r="A184" s="7" t="s">
        <v>1683</v>
      </c>
      <c r="B184" s="3" t="s">
        <v>1684</v>
      </c>
      <c r="C184" s="3" t="s">
        <v>1684</v>
      </c>
      <c r="D184" s="4">
        <v>9999999</v>
      </c>
      <c r="E184" s="4">
        <v>0.1</v>
      </c>
    </row>
    <row r="185" spans="1:5">
      <c r="A185" s="7" t="s">
        <v>1685</v>
      </c>
      <c r="B185" s="3" t="s">
        <v>1686</v>
      </c>
      <c r="C185" s="3" t="s">
        <v>1686</v>
      </c>
      <c r="D185" s="4">
        <v>9999999</v>
      </c>
      <c r="E185" s="4">
        <v>0.1</v>
      </c>
    </row>
    <row r="186" spans="1:5">
      <c r="A186" s="7" t="s">
        <v>1687</v>
      </c>
      <c r="B186" s="3" t="s">
        <v>1688</v>
      </c>
      <c r="C186" s="3" t="s">
        <v>1688</v>
      </c>
      <c r="D186" s="4">
        <v>9999999</v>
      </c>
      <c r="E186" s="4">
        <v>0.1</v>
      </c>
    </row>
    <row r="187" spans="1:5">
      <c r="A187" s="7" t="s">
        <v>1689</v>
      </c>
      <c r="B187" s="3" t="s">
        <v>1690</v>
      </c>
      <c r="C187" s="3" t="s">
        <v>1690</v>
      </c>
      <c r="D187" s="4">
        <v>9999999</v>
      </c>
      <c r="E187" s="4">
        <v>0.1</v>
      </c>
    </row>
    <row r="188" spans="1:5">
      <c r="A188" s="7" t="s">
        <v>1691</v>
      </c>
      <c r="B188" s="3" t="s">
        <v>1692</v>
      </c>
      <c r="C188" s="3" t="s">
        <v>1692</v>
      </c>
      <c r="D188" s="4">
        <v>9999999</v>
      </c>
      <c r="E188" s="4">
        <v>0.1</v>
      </c>
    </row>
    <row r="189" spans="1:5">
      <c r="A189" s="7" t="s">
        <v>1693</v>
      </c>
      <c r="B189" s="3" t="s">
        <v>1694</v>
      </c>
      <c r="C189" s="3" t="s">
        <v>1694</v>
      </c>
      <c r="D189" s="4">
        <v>9999999</v>
      </c>
      <c r="E189" s="4">
        <v>0.1</v>
      </c>
    </row>
    <row r="190" spans="1:5">
      <c r="A190" s="7" t="s">
        <v>1695</v>
      </c>
      <c r="B190" s="3" t="s">
        <v>1696</v>
      </c>
      <c r="C190" s="3" t="s">
        <v>1696</v>
      </c>
      <c r="D190" s="4">
        <v>9999999</v>
      </c>
      <c r="E190" s="4">
        <v>0.1</v>
      </c>
    </row>
    <row r="191" spans="1:5">
      <c r="A191" s="7" t="s">
        <v>1697</v>
      </c>
      <c r="B191" s="3" t="s">
        <v>1698</v>
      </c>
      <c r="C191" s="3" t="s">
        <v>1698</v>
      </c>
      <c r="D191" s="4">
        <v>9999999</v>
      </c>
      <c r="E191" s="4">
        <v>0.1</v>
      </c>
    </row>
    <row r="192" spans="1:5">
      <c r="A192" s="7" t="s">
        <v>1699</v>
      </c>
      <c r="B192" s="3" t="s">
        <v>1700</v>
      </c>
      <c r="C192" s="3" t="s">
        <v>1700</v>
      </c>
      <c r="D192" s="4">
        <v>9999999</v>
      </c>
      <c r="E192" s="4">
        <v>0.1</v>
      </c>
    </row>
    <row r="193" spans="1:5">
      <c r="A193" s="7" t="s">
        <v>1701</v>
      </c>
      <c r="B193" s="3" t="s">
        <v>1702</v>
      </c>
      <c r="C193" s="3" t="s">
        <v>1702</v>
      </c>
      <c r="D193" s="4">
        <v>9999999</v>
      </c>
      <c r="E193" s="4">
        <v>0.1</v>
      </c>
    </row>
    <row r="194" spans="1:5">
      <c r="A194" s="7" t="s">
        <v>1703</v>
      </c>
      <c r="B194" s="3" t="s">
        <v>1704</v>
      </c>
      <c r="C194" s="3" t="s">
        <v>1704</v>
      </c>
      <c r="D194" s="4">
        <v>9999999</v>
      </c>
      <c r="E194" s="4">
        <v>0.1</v>
      </c>
    </row>
    <row r="195" spans="1:5">
      <c r="A195" s="7" t="s">
        <v>1705</v>
      </c>
      <c r="B195" s="3" t="s">
        <v>1706</v>
      </c>
      <c r="C195" s="3" t="s">
        <v>1706</v>
      </c>
      <c r="D195" s="4">
        <v>9999999</v>
      </c>
      <c r="E195" s="4">
        <v>0.1</v>
      </c>
    </row>
    <row r="196" spans="1:5">
      <c r="A196" s="7" t="s">
        <v>1707</v>
      </c>
      <c r="B196" s="3" t="s">
        <v>1708</v>
      </c>
      <c r="C196" s="3" t="s">
        <v>1708</v>
      </c>
      <c r="D196" s="4">
        <v>9999999</v>
      </c>
      <c r="E196" s="4">
        <v>0.1</v>
      </c>
    </row>
    <row r="197" spans="1:5">
      <c r="A197" s="7" t="s">
        <v>1709</v>
      </c>
      <c r="B197" s="3" t="s">
        <v>1710</v>
      </c>
      <c r="C197" s="3" t="s">
        <v>1710</v>
      </c>
      <c r="D197" s="4">
        <v>9999999</v>
      </c>
      <c r="E197" s="4">
        <v>0.1</v>
      </c>
    </row>
    <row r="198" spans="1:5">
      <c r="A198" s="7" t="s">
        <v>1711</v>
      </c>
      <c r="B198" s="3" t="s">
        <v>1712</v>
      </c>
      <c r="C198" s="3" t="s">
        <v>1712</v>
      </c>
      <c r="D198" s="4">
        <v>9999999</v>
      </c>
      <c r="E198" s="4">
        <v>0.1</v>
      </c>
    </row>
    <row r="199" spans="1:5">
      <c r="A199" s="7" t="s">
        <v>1713</v>
      </c>
      <c r="B199" s="3" t="s">
        <v>1714</v>
      </c>
      <c r="C199" s="3" t="s">
        <v>1714</v>
      </c>
      <c r="D199" s="4">
        <v>9999999</v>
      </c>
      <c r="E199" s="4">
        <v>0.1</v>
      </c>
    </row>
    <row r="200" spans="1:5">
      <c r="A200" s="7" t="s">
        <v>1715</v>
      </c>
      <c r="B200" s="3" t="s">
        <v>1716</v>
      </c>
      <c r="C200" s="3" t="s">
        <v>1716</v>
      </c>
      <c r="D200" s="4">
        <v>9999999</v>
      </c>
      <c r="E200" s="4">
        <v>0.1</v>
      </c>
    </row>
    <row r="201" spans="1:5">
      <c r="A201" s="7" t="s">
        <v>1717</v>
      </c>
      <c r="B201" s="3" t="s">
        <v>1718</v>
      </c>
      <c r="C201" s="3" t="s">
        <v>1718</v>
      </c>
      <c r="D201" s="4">
        <v>9999999</v>
      </c>
      <c r="E201" s="4">
        <v>0.1</v>
      </c>
    </row>
    <row r="202" spans="1:5">
      <c r="A202" s="7" t="s">
        <v>1719</v>
      </c>
      <c r="B202" s="3" t="s">
        <v>1720</v>
      </c>
      <c r="C202" s="3" t="s">
        <v>1720</v>
      </c>
      <c r="D202" s="4">
        <v>9999999</v>
      </c>
      <c r="E202" s="4">
        <v>0.1</v>
      </c>
    </row>
    <row r="203" spans="1:5">
      <c r="A203" s="7" t="s">
        <v>1721</v>
      </c>
      <c r="B203" s="3" t="s">
        <v>1722</v>
      </c>
      <c r="C203" s="3" t="s">
        <v>1722</v>
      </c>
      <c r="D203" s="4">
        <v>9999999</v>
      </c>
      <c r="E203" s="4">
        <v>0.1</v>
      </c>
    </row>
    <row r="204" spans="1:5">
      <c r="A204" s="7" t="s">
        <v>1723</v>
      </c>
      <c r="B204" s="3" t="s">
        <v>1724</v>
      </c>
      <c r="C204" s="3" t="s">
        <v>1724</v>
      </c>
      <c r="D204" s="4">
        <v>9999999</v>
      </c>
      <c r="E204" s="4">
        <v>0.1</v>
      </c>
    </row>
    <row r="205" spans="1:5">
      <c r="A205" s="7" t="s">
        <v>1725</v>
      </c>
      <c r="B205" s="3" t="s">
        <v>1726</v>
      </c>
      <c r="C205" s="3" t="s">
        <v>1726</v>
      </c>
      <c r="D205" s="4">
        <v>9999999</v>
      </c>
      <c r="E205" s="4">
        <v>0.1</v>
      </c>
    </row>
    <row r="206" spans="1:5">
      <c r="A206" s="7" t="s">
        <v>1727</v>
      </c>
      <c r="B206" s="3" t="s">
        <v>1728</v>
      </c>
      <c r="C206" s="3" t="s">
        <v>1728</v>
      </c>
      <c r="D206" s="4">
        <v>9999999</v>
      </c>
      <c r="E206" s="4">
        <v>0.1</v>
      </c>
    </row>
    <row r="207" spans="1:5">
      <c r="A207" s="7" t="s">
        <v>1729</v>
      </c>
      <c r="B207" s="3" t="s">
        <v>1730</v>
      </c>
      <c r="C207" s="3" t="s">
        <v>1730</v>
      </c>
      <c r="D207" s="4">
        <v>9999999</v>
      </c>
      <c r="E207" s="4">
        <v>0.1</v>
      </c>
    </row>
    <row r="208" spans="1:5">
      <c r="A208" s="7" t="s">
        <v>1731</v>
      </c>
      <c r="B208" s="3" t="s">
        <v>1732</v>
      </c>
      <c r="C208" s="3" t="s">
        <v>1732</v>
      </c>
      <c r="D208" s="4">
        <v>9999999</v>
      </c>
      <c r="E208" s="4">
        <v>0.1</v>
      </c>
    </row>
    <row r="209" spans="1:5">
      <c r="A209" s="7" t="s">
        <v>1733</v>
      </c>
      <c r="B209" s="3" t="s">
        <v>1734</v>
      </c>
      <c r="C209" s="3" t="s">
        <v>1734</v>
      </c>
      <c r="D209" s="4">
        <v>9999999</v>
      </c>
      <c r="E209" s="4">
        <v>0.1</v>
      </c>
    </row>
    <row r="210" spans="1:5">
      <c r="A210" s="7" t="s">
        <v>1735</v>
      </c>
      <c r="B210" s="3" t="s">
        <v>1736</v>
      </c>
      <c r="C210" s="3" t="s">
        <v>1736</v>
      </c>
      <c r="D210" s="4">
        <v>9999999</v>
      </c>
      <c r="E210" s="4">
        <v>0.1</v>
      </c>
    </row>
    <row r="211" spans="1:5">
      <c r="A211" s="7" t="s">
        <v>1737</v>
      </c>
      <c r="B211" s="3" t="s">
        <v>1738</v>
      </c>
      <c r="C211" s="3" t="s">
        <v>1738</v>
      </c>
      <c r="D211" s="4">
        <v>9999999</v>
      </c>
      <c r="E211" s="4">
        <v>0.1</v>
      </c>
    </row>
    <row r="212" spans="1:5">
      <c r="A212" s="7" t="s">
        <v>1739</v>
      </c>
      <c r="B212" s="3" t="s">
        <v>1740</v>
      </c>
      <c r="C212" s="3" t="s">
        <v>1740</v>
      </c>
      <c r="D212" s="4">
        <v>9999999</v>
      </c>
      <c r="E212" s="4">
        <v>0.1</v>
      </c>
    </row>
    <row r="213" spans="1:5">
      <c r="A213" s="7" t="s">
        <v>1741</v>
      </c>
      <c r="B213" s="3" t="s">
        <v>1742</v>
      </c>
      <c r="C213" s="3" t="s">
        <v>1742</v>
      </c>
      <c r="D213" s="4">
        <v>9999999</v>
      </c>
      <c r="E213" s="4">
        <v>0.1</v>
      </c>
    </row>
    <row r="214" spans="1:5">
      <c r="A214" s="7" t="s">
        <v>1743</v>
      </c>
      <c r="B214" s="3" t="s">
        <v>1744</v>
      </c>
      <c r="C214" s="3" t="s">
        <v>1744</v>
      </c>
      <c r="D214" s="4">
        <v>9999999</v>
      </c>
      <c r="E214" s="4">
        <v>0.1</v>
      </c>
    </row>
    <row r="215" spans="1:5">
      <c r="A215" s="7" t="s">
        <v>1745</v>
      </c>
      <c r="B215" s="3" t="s">
        <v>1746</v>
      </c>
      <c r="C215" s="3" t="s">
        <v>1746</v>
      </c>
      <c r="D215" s="4">
        <v>9999999</v>
      </c>
      <c r="E215" s="4">
        <v>0.1</v>
      </c>
    </row>
    <row r="216" spans="1:5">
      <c r="A216" s="7" t="s">
        <v>1747</v>
      </c>
      <c r="B216" s="3" t="s">
        <v>1748</v>
      </c>
      <c r="C216" s="3" t="s">
        <v>1748</v>
      </c>
      <c r="D216" s="4">
        <v>9999999</v>
      </c>
      <c r="E216" s="4">
        <v>0.1</v>
      </c>
    </row>
    <row r="217" spans="1:5">
      <c r="A217" s="7" t="s">
        <v>1749</v>
      </c>
      <c r="B217" s="3" t="s">
        <v>1750</v>
      </c>
      <c r="C217" s="3" t="s">
        <v>1750</v>
      </c>
      <c r="D217" s="4">
        <v>9999999</v>
      </c>
      <c r="E217" s="4">
        <v>0.1</v>
      </c>
    </row>
    <row r="218" spans="1:5">
      <c r="A218" s="7" t="s">
        <v>1751</v>
      </c>
      <c r="B218" s="3" t="s">
        <v>1752</v>
      </c>
      <c r="C218" s="3" t="s">
        <v>1752</v>
      </c>
      <c r="D218" s="4">
        <v>9999999</v>
      </c>
      <c r="E218" s="4">
        <v>0.1</v>
      </c>
    </row>
    <row r="219" spans="1:5">
      <c r="A219" s="7" t="s">
        <v>1753</v>
      </c>
      <c r="B219" s="3" t="s">
        <v>1754</v>
      </c>
      <c r="C219" s="3" t="s">
        <v>1754</v>
      </c>
      <c r="D219" s="4">
        <v>9999999</v>
      </c>
      <c r="E219" s="4">
        <v>0.1</v>
      </c>
    </row>
    <row r="220" spans="1:5">
      <c r="A220" s="7" t="s">
        <v>1755</v>
      </c>
      <c r="B220" s="3" t="s">
        <v>1756</v>
      </c>
      <c r="C220" s="3" t="s">
        <v>1756</v>
      </c>
      <c r="D220" s="4">
        <v>9999999</v>
      </c>
      <c r="E220" s="4">
        <v>0.1</v>
      </c>
    </row>
    <row r="221" spans="1:5">
      <c r="A221" s="7" t="s">
        <v>1757</v>
      </c>
      <c r="B221" s="3" t="s">
        <v>1758</v>
      </c>
      <c r="C221" s="3" t="s">
        <v>1758</v>
      </c>
      <c r="D221" s="4">
        <v>9999999</v>
      </c>
      <c r="E221" s="4">
        <v>0.1</v>
      </c>
    </row>
    <row r="222" spans="1:5">
      <c r="A222" s="7" t="s">
        <v>1759</v>
      </c>
      <c r="B222" s="3" t="s">
        <v>1760</v>
      </c>
      <c r="C222" s="3" t="s">
        <v>1760</v>
      </c>
      <c r="D222" s="4">
        <v>9999999</v>
      </c>
      <c r="E222" s="4">
        <v>0.1</v>
      </c>
    </row>
    <row r="223" spans="1:5">
      <c r="A223" s="7" t="s">
        <v>1761</v>
      </c>
      <c r="B223" s="3" t="s">
        <v>1762</v>
      </c>
      <c r="C223" s="3" t="s">
        <v>1762</v>
      </c>
      <c r="D223" s="4">
        <v>9999999</v>
      </c>
      <c r="E223" s="4">
        <v>0.1</v>
      </c>
    </row>
    <row r="224" spans="1:5">
      <c r="A224" s="7" t="s">
        <v>1763</v>
      </c>
      <c r="B224" s="3" t="s">
        <v>1764</v>
      </c>
      <c r="C224" s="3" t="s">
        <v>1764</v>
      </c>
      <c r="D224" s="4">
        <v>9999999</v>
      </c>
      <c r="E224" s="4">
        <v>0.1</v>
      </c>
    </row>
    <row r="225" spans="1:5">
      <c r="A225" s="7" t="s">
        <v>1765</v>
      </c>
      <c r="B225" s="3" t="s">
        <v>1766</v>
      </c>
      <c r="C225" s="3" t="s">
        <v>1766</v>
      </c>
      <c r="D225" s="4">
        <v>9999999</v>
      </c>
      <c r="E225" s="4">
        <v>0.1</v>
      </c>
    </row>
    <row r="226" spans="1:5">
      <c r="A226" s="7" t="s">
        <v>1767</v>
      </c>
      <c r="B226" s="3" t="s">
        <v>1768</v>
      </c>
      <c r="C226" s="3" t="s">
        <v>1768</v>
      </c>
      <c r="D226" s="4">
        <v>9999999</v>
      </c>
      <c r="E226" s="4">
        <v>0.1</v>
      </c>
    </row>
    <row r="227" spans="1:5">
      <c r="A227" s="7" t="s">
        <v>1769</v>
      </c>
      <c r="B227" s="3" t="s">
        <v>1770</v>
      </c>
      <c r="C227" s="3" t="s">
        <v>1770</v>
      </c>
      <c r="D227" s="4">
        <v>9999999</v>
      </c>
      <c r="E227" s="4">
        <v>0.1</v>
      </c>
    </row>
    <row r="228" spans="1:5">
      <c r="A228" s="7" t="s">
        <v>1771</v>
      </c>
      <c r="B228" s="3" t="s">
        <v>1772</v>
      </c>
      <c r="C228" s="3" t="s">
        <v>1772</v>
      </c>
      <c r="D228" s="4">
        <v>9999999</v>
      </c>
      <c r="E228" s="4">
        <v>0.1</v>
      </c>
    </row>
    <row r="229" spans="1:5">
      <c r="A229" s="7" t="s">
        <v>1773</v>
      </c>
      <c r="B229" s="3" t="s">
        <v>1774</v>
      </c>
      <c r="C229" s="3" t="s">
        <v>1774</v>
      </c>
      <c r="D229" s="4">
        <v>9999999</v>
      </c>
      <c r="E229" s="4">
        <v>0.1</v>
      </c>
    </row>
    <row r="230" spans="1:5">
      <c r="A230" s="7" t="s">
        <v>1775</v>
      </c>
      <c r="B230" s="3" t="s">
        <v>1776</v>
      </c>
      <c r="C230" s="3" t="s">
        <v>1776</v>
      </c>
      <c r="D230" s="4">
        <v>9999999</v>
      </c>
      <c r="E230" s="4">
        <v>0.1</v>
      </c>
    </row>
    <row r="231" spans="1:5">
      <c r="A231" s="7" t="s">
        <v>1777</v>
      </c>
      <c r="B231" s="3" t="s">
        <v>1778</v>
      </c>
      <c r="C231" s="3" t="s">
        <v>1778</v>
      </c>
      <c r="D231" s="4">
        <v>9999999</v>
      </c>
      <c r="E231" s="4">
        <v>0.1</v>
      </c>
    </row>
    <row r="232" spans="1:5">
      <c r="A232" s="7" t="s">
        <v>1779</v>
      </c>
      <c r="B232" s="3" t="s">
        <v>1780</v>
      </c>
      <c r="C232" s="3" t="s">
        <v>1780</v>
      </c>
      <c r="D232" s="4">
        <v>9999999</v>
      </c>
      <c r="E232" s="4">
        <v>0.1</v>
      </c>
    </row>
    <row r="233" spans="1:5">
      <c r="A233" s="7" t="s">
        <v>1781</v>
      </c>
      <c r="B233" s="3" t="s">
        <v>1782</v>
      </c>
      <c r="C233" s="3" t="s">
        <v>1782</v>
      </c>
      <c r="D233" s="4">
        <v>9999999</v>
      </c>
      <c r="E233" s="4">
        <v>0.1</v>
      </c>
    </row>
    <row r="234" spans="1:5">
      <c r="A234" s="7" t="s">
        <v>1783</v>
      </c>
      <c r="B234" s="3" t="s">
        <v>1784</v>
      </c>
      <c r="C234" s="3" t="s">
        <v>1784</v>
      </c>
      <c r="D234" s="4">
        <v>9999999</v>
      </c>
      <c r="E234" s="4">
        <v>0.1</v>
      </c>
    </row>
    <row r="235" spans="1:5">
      <c r="A235" s="7" t="s">
        <v>1785</v>
      </c>
      <c r="B235" s="3" t="s">
        <v>1786</v>
      </c>
      <c r="C235" s="3" t="s">
        <v>1786</v>
      </c>
      <c r="D235" s="4">
        <v>9999999</v>
      </c>
      <c r="E235" s="4">
        <v>0.1</v>
      </c>
    </row>
    <row r="236" spans="1:5">
      <c r="A236" s="7" t="s">
        <v>1787</v>
      </c>
      <c r="B236" s="3" t="s">
        <v>1788</v>
      </c>
      <c r="C236" s="3" t="s">
        <v>1788</v>
      </c>
      <c r="D236" s="4">
        <v>9999999</v>
      </c>
      <c r="E236" s="4">
        <v>0.1</v>
      </c>
    </row>
    <row r="237" spans="1:5">
      <c r="A237" s="7" t="s">
        <v>1789</v>
      </c>
      <c r="B237" s="3" t="s">
        <v>1790</v>
      </c>
      <c r="C237" s="3" t="s">
        <v>1790</v>
      </c>
      <c r="D237" s="4">
        <v>9999999</v>
      </c>
      <c r="E237" s="4">
        <v>0.1</v>
      </c>
    </row>
    <row r="238" spans="1:5">
      <c r="A238" s="7" t="s">
        <v>1791</v>
      </c>
      <c r="B238" s="3" t="s">
        <v>1792</v>
      </c>
      <c r="C238" s="3" t="s">
        <v>1792</v>
      </c>
      <c r="D238" s="4">
        <v>9999999</v>
      </c>
      <c r="E238" s="4">
        <v>0.1</v>
      </c>
    </row>
    <row r="239" spans="1:5">
      <c r="A239" s="7" t="s">
        <v>1793</v>
      </c>
      <c r="B239" s="3" t="s">
        <v>1794</v>
      </c>
      <c r="C239" s="3" t="s">
        <v>1794</v>
      </c>
      <c r="D239" s="4">
        <v>9999999</v>
      </c>
      <c r="E239" s="4">
        <v>0.1</v>
      </c>
    </row>
    <row r="240" spans="1:5">
      <c r="A240" s="7" t="s">
        <v>1795</v>
      </c>
      <c r="B240" s="3" t="s">
        <v>1796</v>
      </c>
      <c r="C240" s="3" t="s">
        <v>1796</v>
      </c>
      <c r="D240" s="4">
        <v>9999999</v>
      </c>
      <c r="E240" s="4">
        <v>0.1</v>
      </c>
    </row>
    <row r="241" spans="1:5">
      <c r="A241" s="7" t="s">
        <v>1797</v>
      </c>
      <c r="B241" s="3" t="s">
        <v>1798</v>
      </c>
      <c r="C241" s="3" t="s">
        <v>1798</v>
      </c>
      <c r="D241" s="4">
        <v>9999999</v>
      </c>
      <c r="E241" s="4">
        <v>0.1</v>
      </c>
    </row>
    <row r="242" spans="1:5">
      <c r="A242" s="7" t="s">
        <v>1799</v>
      </c>
      <c r="B242" s="3" t="s">
        <v>1800</v>
      </c>
      <c r="C242" s="3" t="s">
        <v>1800</v>
      </c>
      <c r="D242" s="4">
        <v>9999999</v>
      </c>
      <c r="E242" s="4">
        <v>0.1</v>
      </c>
    </row>
    <row r="243" spans="1:5">
      <c r="A243" s="7" t="s">
        <v>1801</v>
      </c>
      <c r="B243" s="3" t="s">
        <v>1802</v>
      </c>
      <c r="C243" s="3" t="s">
        <v>1802</v>
      </c>
      <c r="D243" s="4">
        <v>9999999</v>
      </c>
      <c r="E243" s="4">
        <v>0.1</v>
      </c>
    </row>
    <row r="244" spans="1:5">
      <c r="A244" s="7" t="s">
        <v>1803</v>
      </c>
      <c r="B244" s="3" t="s">
        <v>1804</v>
      </c>
      <c r="C244" s="3" t="s">
        <v>1804</v>
      </c>
      <c r="D244" s="4">
        <v>9999999</v>
      </c>
      <c r="E244" s="4">
        <v>0.1</v>
      </c>
    </row>
    <row r="245" spans="1:5">
      <c r="A245" s="7" t="s">
        <v>1805</v>
      </c>
      <c r="B245" s="3" t="s">
        <v>1806</v>
      </c>
      <c r="C245" s="3" t="s">
        <v>1806</v>
      </c>
      <c r="D245" s="4">
        <v>9999999</v>
      </c>
      <c r="E245" s="4">
        <v>0.1</v>
      </c>
    </row>
    <row r="246" spans="1:5">
      <c r="A246" s="7" t="s">
        <v>1807</v>
      </c>
      <c r="B246" s="3" t="s">
        <v>1808</v>
      </c>
      <c r="C246" s="3" t="s">
        <v>1808</v>
      </c>
      <c r="D246" s="4">
        <v>9999999</v>
      </c>
      <c r="E246" s="4">
        <v>0.1</v>
      </c>
    </row>
    <row r="247" spans="1:5">
      <c r="A247" s="7" t="s">
        <v>1809</v>
      </c>
      <c r="B247" s="3" t="s">
        <v>1810</v>
      </c>
      <c r="C247" s="3" t="s">
        <v>1810</v>
      </c>
      <c r="D247" s="4">
        <v>9999999</v>
      </c>
      <c r="E247" s="4">
        <v>0.1</v>
      </c>
    </row>
    <row r="248" spans="1:5">
      <c r="A248" s="7" t="s">
        <v>1811</v>
      </c>
      <c r="B248" s="3" t="s">
        <v>1812</v>
      </c>
      <c r="C248" s="3" t="s">
        <v>1812</v>
      </c>
      <c r="D248" s="4">
        <v>9999999</v>
      </c>
      <c r="E248" s="4">
        <v>0.1</v>
      </c>
    </row>
    <row r="249" spans="1:5">
      <c r="A249" s="7" t="s">
        <v>1813</v>
      </c>
      <c r="B249" s="3" t="s">
        <v>1814</v>
      </c>
      <c r="C249" s="3" t="s">
        <v>1814</v>
      </c>
      <c r="D249" s="4">
        <v>9999999</v>
      </c>
      <c r="E249" s="4">
        <v>0.1</v>
      </c>
    </row>
    <row r="250" spans="1:5">
      <c r="A250" s="7" t="s">
        <v>1815</v>
      </c>
      <c r="B250" s="3" t="s">
        <v>1816</v>
      </c>
      <c r="C250" s="3" t="s">
        <v>1816</v>
      </c>
      <c r="D250" s="4">
        <v>9999999</v>
      </c>
      <c r="E250" s="4">
        <v>0.1</v>
      </c>
    </row>
    <row r="251" spans="1:5">
      <c r="A251" s="7" t="s">
        <v>1817</v>
      </c>
      <c r="B251" s="3" t="s">
        <v>1818</v>
      </c>
      <c r="C251" s="3" t="s">
        <v>1818</v>
      </c>
      <c r="D251" s="4">
        <v>9999999</v>
      </c>
      <c r="E251" s="4">
        <v>0.1</v>
      </c>
    </row>
    <row r="252" spans="1:5">
      <c r="A252" s="7" t="s">
        <v>1819</v>
      </c>
      <c r="B252" s="3" t="s">
        <v>1820</v>
      </c>
      <c r="C252" s="3" t="s">
        <v>1820</v>
      </c>
      <c r="D252" s="4">
        <v>9999999</v>
      </c>
      <c r="E252" s="4">
        <v>0.1</v>
      </c>
    </row>
    <row r="253" spans="1:5">
      <c r="A253" s="7" t="s">
        <v>1821</v>
      </c>
      <c r="B253" s="3" t="s">
        <v>1822</v>
      </c>
      <c r="C253" s="3" t="s">
        <v>1822</v>
      </c>
      <c r="D253" s="4">
        <v>9999999</v>
      </c>
      <c r="E253" s="4">
        <v>0.1</v>
      </c>
    </row>
    <row r="254" spans="1:5">
      <c r="A254" s="7" t="s">
        <v>1823</v>
      </c>
      <c r="B254" s="3" t="s">
        <v>1824</v>
      </c>
      <c r="C254" s="3" t="s">
        <v>1824</v>
      </c>
      <c r="D254" s="4">
        <v>9999999</v>
      </c>
      <c r="E254" s="4">
        <v>0.1</v>
      </c>
    </row>
    <row r="255" spans="1:5">
      <c r="A255" s="7" t="s">
        <v>1825</v>
      </c>
      <c r="B255" s="3" t="s">
        <v>1826</v>
      </c>
      <c r="C255" s="3" t="s">
        <v>1826</v>
      </c>
      <c r="D255" s="4">
        <v>9999999</v>
      </c>
      <c r="E255" s="4">
        <v>0.1</v>
      </c>
    </row>
    <row r="256" spans="1:5">
      <c r="A256" s="7" t="s">
        <v>1827</v>
      </c>
      <c r="B256" s="3" t="s">
        <v>1828</v>
      </c>
      <c r="C256" s="3" t="s">
        <v>1828</v>
      </c>
      <c r="D256" s="4">
        <v>9999999</v>
      </c>
      <c r="E256" s="4">
        <v>0.1</v>
      </c>
    </row>
    <row r="257" spans="1:5">
      <c r="A257" s="7" t="s">
        <v>1829</v>
      </c>
      <c r="B257" s="3" t="s">
        <v>1830</v>
      </c>
      <c r="C257" s="3" t="s">
        <v>1830</v>
      </c>
      <c r="D257" s="4">
        <v>9999999</v>
      </c>
      <c r="E257" s="4">
        <v>0.1</v>
      </c>
    </row>
    <row r="258" spans="1:5">
      <c r="A258" s="7" t="s">
        <v>1831</v>
      </c>
      <c r="B258" s="3" t="s">
        <v>1832</v>
      </c>
      <c r="C258" s="3" t="s">
        <v>1832</v>
      </c>
      <c r="D258" s="4">
        <v>9999999</v>
      </c>
      <c r="E258" s="4">
        <v>0.1</v>
      </c>
    </row>
    <row r="259" spans="1:5">
      <c r="A259" s="7" t="s">
        <v>1833</v>
      </c>
      <c r="B259" s="3" t="s">
        <v>1834</v>
      </c>
      <c r="C259" s="3" t="s">
        <v>1834</v>
      </c>
      <c r="D259" s="4">
        <v>9999999</v>
      </c>
      <c r="E259" s="4">
        <v>0.1</v>
      </c>
    </row>
    <row r="260" spans="1:5">
      <c r="A260" s="7" t="s">
        <v>1835</v>
      </c>
      <c r="B260" s="3" t="s">
        <v>1836</v>
      </c>
      <c r="C260" s="3" t="s">
        <v>1836</v>
      </c>
      <c r="D260" s="4">
        <v>9999999</v>
      </c>
      <c r="E260" s="4">
        <v>0.1</v>
      </c>
    </row>
    <row r="261" spans="1:5">
      <c r="A261" s="7" t="s">
        <v>1837</v>
      </c>
      <c r="B261" s="3" t="s">
        <v>1838</v>
      </c>
      <c r="C261" s="3" t="s">
        <v>1838</v>
      </c>
      <c r="D261" s="4">
        <v>9999999</v>
      </c>
      <c r="E261" s="4">
        <v>0.1</v>
      </c>
    </row>
    <row r="262" spans="1:5">
      <c r="A262" s="7" t="s">
        <v>1839</v>
      </c>
      <c r="B262" s="3" t="s">
        <v>1840</v>
      </c>
      <c r="C262" s="3" t="s">
        <v>1840</v>
      </c>
      <c r="D262" s="4">
        <v>9999999</v>
      </c>
      <c r="E262" s="4">
        <v>0.1</v>
      </c>
    </row>
    <row r="263" spans="1:5">
      <c r="A263" s="7" t="s">
        <v>1841</v>
      </c>
      <c r="B263" s="3" t="s">
        <v>1842</v>
      </c>
      <c r="C263" s="3" t="s">
        <v>1842</v>
      </c>
      <c r="D263" s="4">
        <v>9999999</v>
      </c>
      <c r="E263" s="4">
        <v>0.1</v>
      </c>
    </row>
    <row r="264" spans="1:5">
      <c r="A264" s="7" t="s">
        <v>1843</v>
      </c>
      <c r="B264" s="3" t="s">
        <v>1844</v>
      </c>
      <c r="C264" s="3" t="s">
        <v>1844</v>
      </c>
      <c r="D264" s="4">
        <v>9999999</v>
      </c>
      <c r="E264" s="4">
        <v>0.1</v>
      </c>
    </row>
    <row r="265" spans="1:5">
      <c r="A265" s="7" t="s">
        <v>1845</v>
      </c>
      <c r="B265" s="3" t="s">
        <v>1846</v>
      </c>
      <c r="C265" s="3" t="s">
        <v>1846</v>
      </c>
      <c r="D265" s="4">
        <v>9999999</v>
      </c>
      <c r="E265" s="4">
        <v>0.1</v>
      </c>
    </row>
    <row r="266" spans="1:5">
      <c r="A266" s="7" t="s">
        <v>1847</v>
      </c>
      <c r="B266" s="3" t="s">
        <v>1848</v>
      </c>
      <c r="C266" s="3" t="s">
        <v>1848</v>
      </c>
      <c r="D266" s="4">
        <v>9999999</v>
      </c>
      <c r="E266" s="4">
        <v>0.1</v>
      </c>
    </row>
    <row r="267" spans="1:5">
      <c r="A267" s="7" t="s">
        <v>1849</v>
      </c>
      <c r="B267" s="3" t="s">
        <v>1850</v>
      </c>
      <c r="C267" s="3" t="s">
        <v>1850</v>
      </c>
      <c r="D267" s="4">
        <v>9999999</v>
      </c>
      <c r="E267" s="4">
        <v>0.1</v>
      </c>
    </row>
    <row r="268" spans="1:5">
      <c r="A268" s="7" t="s">
        <v>1851</v>
      </c>
      <c r="B268" s="3" t="s">
        <v>1852</v>
      </c>
      <c r="C268" s="3" t="s">
        <v>1852</v>
      </c>
      <c r="D268" s="4">
        <v>9999999</v>
      </c>
      <c r="E268" s="4">
        <v>0.1</v>
      </c>
    </row>
    <row r="269" spans="1:5">
      <c r="A269" s="7" t="s">
        <v>1853</v>
      </c>
      <c r="B269" s="3" t="s">
        <v>1854</v>
      </c>
      <c r="C269" s="3" t="s">
        <v>1854</v>
      </c>
      <c r="D269" s="4">
        <v>9999999</v>
      </c>
      <c r="E269" s="4">
        <v>0.1</v>
      </c>
    </row>
    <row r="270" spans="1:5">
      <c r="A270" s="7" t="s">
        <v>1855</v>
      </c>
      <c r="B270" s="3" t="s">
        <v>1856</v>
      </c>
      <c r="C270" s="3" t="s">
        <v>1856</v>
      </c>
      <c r="D270" s="4">
        <v>9999999</v>
      </c>
      <c r="E270" s="4">
        <v>0.1</v>
      </c>
    </row>
    <row r="271" spans="1:5">
      <c r="A271" s="7" t="s">
        <v>1857</v>
      </c>
      <c r="B271" s="3" t="s">
        <v>1858</v>
      </c>
      <c r="C271" s="3" t="s">
        <v>1858</v>
      </c>
      <c r="D271" s="4">
        <v>9999999</v>
      </c>
      <c r="E271" s="4">
        <v>0.1</v>
      </c>
    </row>
    <row r="272" spans="1:5">
      <c r="A272" s="7" t="s">
        <v>1859</v>
      </c>
      <c r="B272" s="3" t="s">
        <v>1860</v>
      </c>
      <c r="C272" s="3" t="s">
        <v>1860</v>
      </c>
      <c r="D272" s="4">
        <v>9999999</v>
      </c>
      <c r="E272" s="4">
        <v>0.1</v>
      </c>
    </row>
    <row r="273" spans="1:5">
      <c r="A273" s="7" t="s">
        <v>1861</v>
      </c>
      <c r="B273" s="3" t="s">
        <v>1862</v>
      </c>
      <c r="C273" s="3" t="s">
        <v>1862</v>
      </c>
      <c r="D273" s="4">
        <v>9999999</v>
      </c>
      <c r="E273" s="4">
        <v>0.1</v>
      </c>
    </row>
    <row r="274" spans="1:5">
      <c r="A274" s="7" t="s">
        <v>1863</v>
      </c>
      <c r="B274" s="3" t="s">
        <v>1864</v>
      </c>
      <c r="C274" s="3" t="s">
        <v>1864</v>
      </c>
      <c r="D274" s="4">
        <v>9999999</v>
      </c>
      <c r="E274" s="4">
        <v>0.1</v>
      </c>
    </row>
    <row r="275" spans="1:5">
      <c r="A275" s="7" t="s">
        <v>1865</v>
      </c>
      <c r="B275" s="3" t="s">
        <v>1866</v>
      </c>
      <c r="C275" s="3" t="s">
        <v>1866</v>
      </c>
      <c r="D275" s="4">
        <v>9999999</v>
      </c>
      <c r="E275" s="4">
        <v>0.1</v>
      </c>
    </row>
    <row r="276" spans="1:5">
      <c r="A276" s="7" t="s">
        <v>1867</v>
      </c>
      <c r="B276" s="3" t="s">
        <v>1868</v>
      </c>
      <c r="C276" s="3" t="s">
        <v>1868</v>
      </c>
      <c r="D276" s="4">
        <v>9999999</v>
      </c>
      <c r="E276" s="4">
        <v>0.1</v>
      </c>
    </row>
    <row r="277" spans="1:5">
      <c r="A277" s="7" t="s">
        <v>1869</v>
      </c>
      <c r="B277" s="3" t="s">
        <v>1870</v>
      </c>
      <c r="C277" s="3" t="s">
        <v>1870</v>
      </c>
      <c r="D277" s="4">
        <v>9999999</v>
      </c>
      <c r="E277" s="4">
        <v>0.1</v>
      </c>
    </row>
    <row r="278" spans="1:5">
      <c r="A278" s="7" t="s">
        <v>1871</v>
      </c>
      <c r="B278" s="3" t="s">
        <v>1872</v>
      </c>
      <c r="C278" s="3" t="s">
        <v>1872</v>
      </c>
      <c r="D278" s="4">
        <v>9999999</v>
      </c>
      <c r="E278" s="4">
        <v>0.1</v>
      </c>
    </row>
    <row r="279" spans="1:5">
      <c r="A279" s="7" t="s">
        <v>1873</v>
      </c>
      <c r="B279" s="3" t="s">
        <v>1874</v>
      </c>
      <c r="C279" s="3" t="s">
        <v>1874</v>
      </c>
      <c r="D279" s="4">
        <v>9999999</v>
      </c>
      <c r="E279" s="4">
        <v>0.1</v>
      </c>
    </row>
    <row r="280" spans="1:5">
      <c r="A280" s="7" t="s">
        <v>1875</v>
      </c>
      <c r="B280" s="3" t="s">
        <v>1876</v>
      </c>
      <c r="C280" s="3" t="s">
        <v>1876</v>
      </c>
      <c r="D280" s="4">
        <v>9999999</v>
      </c>
      <c r="E280" s="4">
        <v>0.1</v>
      </c>
    </row>
    <row r="281" spans="1:5">
      <c r="A281" s="7" t="s">
        <v>1877</v>
      </c>
      <c r="B281" s="3" t="s">
        <v>1878</v>
      </c>
      <c r="C281" s="3" t="s">
        <v>1878</v>
      </c>
      <c r="D281" s="4">
        <v>9999999</v>
      </c>
      <c r="E281" s="4">
        <v>0.1</v>
      </c>
    </row>
    <row r="282" spans="1:5">
      <c r="A282" s="7" t="s">
        <v>1879</v>
      </c>
      <c r="B282" s="3" t="s">
        <v>1880</v>
      </c>
      <c r="C282" s="3" t="s">
        <v>1880</v>
      </c>
      <c r="D282" s="4">
        <v>9999999</v>
      </c>
      <c r="E282" s="4">
        <v>0.1</v>
      </c>
    </row>
    <row r="283" spans="1:5">
      <c r="A283" s="7" t="s">
        <v>1881</v>
      </c>
      <c r="B283" s="3" t="s">
        <v>1882</v>
      </c>
      <c r="C283" s="3" t="s">
        <v>1882</v>
      </c>
      <c r="D283" s="4">
        <v>9999999</v>
      </c>
      <c r="E283" s="4">
        <v>0.1</v>
      </c>
    </row>
    <row r="284" spans="1:5">
      <c r="A284" s="7" t="s">
        <v>1883</v>
      </c>
      <c r="B284" s="3" t="s">
        <v>1884</v>
      </c>
      <c r="C284" s="3" t="s">
        <v>1884</v>
      </c>
      <c r="D284" s="4">
        <v>9999999</v>
      </c>
      <c r="E284" s="4">
        <v>0.1</v>
      </c>
    </row>
    <row r="285" spans="1:5">
      <c r="A285" s="7" t="s">
        <v>1885</v>
      </c>
      <c r="B285" s="3" t="s">
        <v>1886</v>
      </c>
      <c r="C285" s="3" t="s">
        <v>1886</v>
      </c>
      <c r="D285" s="4">
        <v>9999999</v>
      </c>
      <c r="E285" s="4">
        <v>0.1</v>
      </c>
    </row>
    <row r="286" spans="1:5">
      <c r="A286" s="7" t="s">
        <v>1887</v>
      </c>
      <c r="B286" s="3" t="s">
        <v>1888</v>
      </c>
      <c r="C286" s="3" t="s">
        <v>1888</v>
      </c>
      <c r="D286" s="4">
        <v>9999999</v>
      </c>
      <c r="E286" s="4">
        <v>0.1</v>
      </c>
    </row>
    <row r="287" spans="1:5">
      <c r="A287" s="7" t="s">
        <v>1889</v>
      </c>
      <c r="B287" s="3" t="s">
        <v>1890</v>
      </c>
      <c r="C287" s="3" t="s">
        <v>1890</v>
      </c>
      <c r="D287" s="4">
        <v>9999999</v>
      </c>
      <c r="E287" s="4">
        <v>0.1</v>
      </c>
    </row>
    <row r="288" spans="1:5">
      <c r="A288" s="7" t="s">
        <v>1891</v>
      </c>
      <c r="B288" s="3" t="s">
        <v>1892</v>
      </c>
      <c r="C288" s="3" t="s">
        <v>1892</v>
      </c>
      <c r="D288" s="4">
        <v>9999999</v>
      </c>
      <c r="E288" s="4">
        <v>0.1</v>
      </c>
    </row>
    <row r="289" spans="1:5">
      <c r="A289" s="7" t="s">
        <v>1893</v>
      </c>
      <c r="B289" s="3" t="s">
        <v>1894</v>
      </c>
      <c r="C289" s="3" t="s">
        <v>1894</v>
      </c>
      <c r="D289" s="4">
        <v>9999999</v>
      </c>
      <c r="E289" s="4">
        <v>0.1</v>
      </c>
    </row>
    <row r="290" spans="1:5">
      <c r="A290" s="7" t="s">
        <v>1895</v>
      </c>
      <c r="B290" s="3" t="s">
        <v>1896</v>
      </c>
      <c r="C290" s="3" t="s">
        <v>1896</v>
      </c>
      <c r="D290" s="4">
        <v>9999999</v>
      </c>
      <c r="E290" s="4">
        <v>0.1</v>
      </c>
    </row>
    <row r="291" spans="1:5">
      <c r="A291" s="7" t="s">
        <v>1897</v>
      </c>
      <c r="B291" s="3" t="s">
        <v>1898</v>
      </c>
      <c r="C291" s="3" t="s">
        <v>1898</v>
      </c>
      <c r="D291" s="4">
        <v>9999999</v>
      </c>
      <c r="E291" s="4">
        <v>0.1</v>
      </c>
    </row>
    <row r="292" spans="1:5">
      <c r="A292" s="7" t="s">
        <v>1899</v>
      </c>
      <c r="B292" s="3" t="s">
        <v>1900</v>
      </c>
      <c r="C292" s="3" t="s">
        <v>1900</v>
      </c>
      <c r="D292" s="4">
        <v>9999999</v>
      </c>
      <c r="E292" s="4">
        <v>0.1</v>
      </c>
    </row>
    <row r="293" spans="1:5">
      <c r="A293" s="7" t="s">
        <v>1901</v>
      </c>
      <c r="B293" s="3" t="s">
        <v>1902</v>
      </c>
      <c r="C293" s="3" t="s">
        <v>1902</v>
      </c>
      <c r="D293" s="4">
        <v>9999999</v>
      </c>
      <c r="E293" s="4">
        <v>0.1</v>
      </c>
    </row>
    <row r="294" spans="1:5">
      <c r="A294" s="7" t="s">
        <v>1903</v>
      </c>
      <c r="B294" s="3" t="s">
        <v>1904</v>
      </c>
      <c r="C294" s="3" t="s">
        <v>1904</v>
      </c>
      <c r="D294" s="4">
        <v>9999999</v>
      </c>
      <c r="E294" s="4">
        <v>0.1</v>
      </c>
    </row>
    <row r="295" spans="1:5">
      <c r="A295" s="7" t="s">
        <v>1905</v>
      </c>
      <c r="B295" s="3" t="s">
        <v>1906</v>
      </c>
      <c r="C295" s="3" t="s">
        <v>1906</v>
      </c>
      <c r="D295" s="4">
        <v>9999999</v>
      </c>
      <c r="E295" s="4">
        <v>0.1</v>
      </c>
    </row>
    <row r="296" spans="1:5">
      <c r="A296" s="7" t="s">
        <v>1907</v>
      </c>
      <c r="B296" s="3" t="s">
        <v>1908</v>
      </c>
      <c r="C296" s="3" t="s">
        <v>1908</v>
      </c>
      <c r="D296" s="4">
        <v>9999999</v>
      </c>
      <c r="E296" s="4">
        <v>0.1</v>
      </c>
    </row>
    <row r="297" spans="1:5">
      <c r="A297" s="7" t="s">
        <v>1909</v>
      </c>
      <c r="B297" s="3" t="s">
        <v>1910</v>
      </c>
      <c r="C297" s="3" t="s">
        <v>1910</v>
      </c>
      <c r="D297" s="4">
        <v>9999999</v>
      </c>
      <c r="E297" s="4">
        <v>0.1</v>
      </c>
    </row>
    <row r="298" spans="1:5">
      <c r="A298" s="7" t="s">
        <v>1911</v>
      </c>
      <c r="B298" s="3" t="s">
        <v>1912</v>
      </c>
      <c r="C298" s="3" t="s">
        <v>1912</v>
      </c>
      <c r="D298" s="4">
        <v>9999999</v>
      </c>
      <c r="E298" s="4">
        <v>0.1</v>
      </c>
    </row>
    <row r="299" spans="1:5">
      <c r="A299" s="7" t="s">
        <v>1913</v>
      </c>
      <c r="B299" s="3" t="s">
        <v>1914</v>
      </c>
      <c r="C299" s="3" t="s">
        <v>1914</v>
      </c>
      <c r="D299" s="4">
        <v>9999999</v>
      </c>
      <c r="E299" s="4">
        <v>0.1</v>
      </c>
    </row>
    <row r="300" spans="1:5">
      <c r="A300" s="7" t="s">
        <v>1915</v>
      </c>
      <c r="B300" s="3" t="s">
        <v>1916</v>
      </c>
      <c r="C300" s="3" t="s">
        <v>1916</v>
      </c>
      <c r="D300" s="4">
        <v>9999999</v>
      </c>
      <c r="E300" s="4">
        <v>0.1</v>
      </c>
    </row>
    <row r="301" spans="1:5">
      <c r="A301" s="7" t="s">
        <v>1917</v>
      </c>
      <c r="B301" s="3" t="s">
        <v>1918</v>
      </c>
      <c r="C301" s="3" t="s">
        <v>1918</v>
      </c>
      <c r="D301" s="4">
        <v>9999999</v>
      </c>
      <c r="E301" s="4">
        <v>0.1</v>
      </c>
    </row>
    <row r="302" spans="1:5">
      <c r="A302" s="7" t="s">
        <v>1919</v>
      </c>
      <c r="B302" s="3" t="s">
        <v>1920</v>
      </c>
      <c r="C302" s="3" t="s">
        <v>1920</v>
      </c>
      <c r="D302" s="4">
        <v>9999999</v>
      </c>
      <c r="E302" s="4">
        <v>0.1</v>
      </c>
    </row>
    <row r="303" spans="1:5">
      <c r="A303" s="7" t="s">
        <v>1921</v>
      </c>
      <c r="B303" s="3" t="s">
        <v>1922</v>
      </c>
      <c r="C303" s="3" t="s">
        <v>1922</v>
      </c>
      <c r="D303" s="4">
        <v>9999999</v>
      </c>
      <c r="E303" s="4">
        <v>0.1</v>
      </c>
    </row>
    <row r="304" spans="1:5">
      <c r="A304" s="7" t="s">
        <v>1923</v>
      </c>
      <c r="B304" s="3" t="s">
        <v>1924</v>
      </c>
      <c r="C304" s="3" t="s">
        <v>1924</v>
      </c>
      <c r="D304" s="4">
        <v>9999999</v>
      </c>
      <c r="E304" s="4">
        <v>0.1</v>
      </c>
    </row>
    <row r="305" spans="1:5">
      <c r="A305" s="7" t="s">
        <v>1925</v>
      </c>
      <c r="B305" s="3" t="s">
        <v>1926</v>
      </c>
      <c r="C305" s="3" t="s">
        <v>1926</v>
      </c>
      <c r="D305" s="4">
        <v>9999999</v>
      </c>
      <c r="E305" s="4">
        <v>0.1</v>
      </c>
    </row>
    <row r="306" spans="1:5">
      <c r="A306" s="7" t="s">
        <v>1927</v>
      </c>
      <c r="B306" s="3" t="s">
        <v>1928</v>
      </c>
      <c r="C306" s="3" t="s">
        <v>1928</v>
      </c>
      <c r="D306" s="4">
        <v>9999999</v>
      </c>
      <c r="E306" s="4">
        <v>0.1</v>
      </c>
    </row>
    <row r="307" spans="1:5">
      <c r="A307" s="7" t="s">
        <v>1929</v>
      </c>
      <c r="B307" s="3" t="s">
        <v>1930</v>
      </c>
      <c r="C307" s="3" t="s">
        <v>1930</v>
      </c>
      <c r="D307" s="4">
        <v>9999999</v>
      </c>
      <c r="E307" s="4">
        <v>0.1</v>
      </c>
    </row>
    <row r="308" spans="1:5">
      <c r="A308" s="7" t="s">
        <v>1931</v>
      </c>
      <c r="B308" s="3" t="s">
        <v>1932</v>
      </c>
      <c r="C308" s="3" t="s">
        <v>1932</v>
      </c>
      <c r="D308" s="4">
        <v>9999999</v>
      </c>
      <c r="E308" s="4">
        <v>0.1</v>
      </c>
    </row>
    <row r="309" spans="1:5">
      <c r="A309" s="7" t="s">
        <v>1933</v>
      </c>
      <c r="B309" s="3" t="s">
        <v>1934</v>
      </c>
      <c r="C309" s="3" t="s">
        <v>1934</v>
      </c>
      <c r="D309" s="4">
        <v>9999999</v>
      </c>
      <c r="E309" s="4">
        <v>0.1</v>
      </c>
    </row>
    <row r="310" spans="1:5">
      <c r="A310" s="7" t="s">
        <v>1935</v>
      </c>
      <c r="B310" s="3" t="s">
        <v>1936</v>
      </c>
      <c r="C310" s="3" t="s">
        <v>1936</v>
      </c>
      <c r="D310" s="4">
        <v>9999999</v>
      </c>
      <c r="E310" s="4">
        <v>0.1</v>
      </c>
    </row>
    <row r="311" spans="1:5">
      <c r="A311" s="7" t="s">
        <v>1937</v>
      </c>
      <c r="B311" s="3" t="s">
        <v>1938</v>
      </c>
      <c r="C311" s="3" t="s">
        <v>1938</v>
      </c>
      <c r="D311" s="4">
        <v>9999999</v>
      </c>
      <c r="E311" s="4">
        <v>0.1</v>
      </c>
    </row>
    <row r="312" spans="1:5">
      <c r="A312" s="7" t="s">
        <v>1939</v>
      </c>
      <c r="B312" s="3" t="s">
        <v>1940</v>
      </c>
      <c r="C312" s="3" t="s">
        <v>1940</v>
      </c>
      <c r="D312" s="4">
        <v>9999999</v>
      </c>
      <c r="E312" s="4">
        <v>0.1</v>
      </c>
    </row>
    <row r="313" spans="1:5">
      <c r="A313" s="7" t="s">
        <v>1941</v>
      </c>
      <c r="B313" s="3" t="s">
        <v>1942</v>
      </c>
      <c r="C313" s="3" t="s">
        <v>1942</v>
      </c>
      <c r="D313" s="4">
        <v>9999999</v>
      </c>
      <c r="E313" s="4">
        <v>0.1</v>
      </c>
    </row>
    <row r="314" spans="1:5">
      <c r="A314" s="7" t="s">
        <v>1943</v>
      </c>
      <c r="B314" s="3" t="s">
        <v>1944</v>
      </c>
      <c r="C314" s="3" t="s">
        <v>1944</v>
      </c>
      <c r="D314" s="4">
        <v>9999999</v>
      </c>
      <c r="E314" s="4">
        <v>0.1</v>
      </c>
    </row>
    <row r="315" spans="1:5">
      <c r="A315" s="7" t="s">
        <v>1945</v>
      </c>
      <c r="B315" s="3" t="s">
        <v>1946</v>
      </c>
      <c r="C315" s="3" t="s">
        <v>1946</v>
      </c>
      <c r="D315" s="4">
        <v>9999999</v>
      </c>
      <c r="E315" s="4">
        <v>0.1</v>
      </c>
    </row>
    <row r="316" spans="1:5">
      <c r="A316" s="7" t="s">
        <v>1947</v>
      </c>
      <c r="B316" s="3" t="s">
        <v>1948</v>
      </c>
      <c r="C316" s="3" t="s">
        <v>1948</v>
      </c>
      <c r="D316" s="4">
        <v>9999999</v>
      </c>
      <c r="E316" s="4">
        <v>0.1</v>
      </c>
    </row>
    <row r="317" spans="1:5">
      <c r="A317" s="7" t="s">
        <v>1949</v>
      </c>
      <c r="B317" s="3" t="s">
        <v>1950</v>
      </c>
      <c r="C317" s="3" t="s">
        <v>1950</v>
      </c>
      <c r="D317" s="4">
        <v>9999999</v>
      </c>
      <c r="E317" s="4">
        <v>0.1</v>
      </c>
    </row>
    <row r="318" spans="1:5">
      <c r="A318" s="7" t="s">
        <v>1951</v>
      </c>
      <c r="B318" s="3" t="s">
        <v>1952</v>
      </c>
      <c r="C318" s="3" t="s">
        <v>1952</v>
      </c>
      <c r="D318" s="4">
        <v>9999999</v>
      </c>
      <c r="E318" s="4">
        <v>0.1</v>
      </c>
    </row>
    <row r="319" spans="1:5">
      <c r="A319" s="7" t="s">
        <v>1953</v>
      </c>
      <c r="B319" s="3" t="s">
        <v>1954</v>
      </c>
      <c r="C319" s="3" t="s">
        <v>1954</v>
      </c>
      <c r="D319" s="4">
        <v>9999999</v>
      </c>
      <c r="E319" s="4">
        <v>0.1</v>
      </c>
    </row>
    <row r="320" spans="1:5">
      <c r="A320" s="7" t="s">
        <v>1955</v>
      </c>
      <c r="B320" s="3" t="s">
        <v>1956</v>
      </c>
      <c r="C320" s="3" t="s">
        <v>1956</v>
      </c>
      <c r="D320" s="4">
        <v>9999999</v>
      </c>
      <c r="E320" s="4">
        <v>0.1</v>
      </c>
    </row>
    <row r="321" spans="1:5">
      <c r="A321" s="7" t="s">
        <v>1957</v>
      </c>
      <c r="B321" s="3" t="s">
        <v>1958</v>
      </c>
      <c r="C321" s="3" t="s">
        <v>1958</v>
      </c>
      <c r="D321" s="4">
        <v>9999999</v>
      </c>
      <c r="E321" s="4">
        <v>0.1</v>
      </c>
    </row>
    <row r="322" spans="1:5">
      <c r="A322" s="7" t="s">
        <v>1959</v>
      </c>
      <c r="B322" s="3" t="s">
        <v>1960</v>
      </c>
      <c r="C322" s="3" t="s">
        <v>1960</v>
      </c>
      <c r="D322" s="4">
        <v>9999999</v>
      </c>
      <c r="E322" s="4">
        <v>0.1</v>
      </c>
    </row>
    <row r="323" spans="1:5">
      <c r="A323" s="7" t="s">
        <v>1961</v>
      </c>
      <c r="B323" s="3" t="s">
        <v>1962</v>
      </c>
      <c r="C323" s="3" t="s">
        <v>1962</v>
      </c>
      <c r="D323" s="4">
        <v>9999999</v>
      </c>
      <c r="E323" s="4">
        <v>0.1</v>
      </c>
    </row>
    <row r="324" spans="1:5">
      <c r="A324" s="7" t="s">
        <v>1963</v>
      </c>
      <c r="B324" s="3" t="s">
        <v>1964</v>
      </c>
      <c r="C324" s="3" t="s">
        <v>1964</v>
      </c>
      <c r="D324" s="4">
        <v>9999999</v>
      </c>
      <c r="E324" s="4">
        <v>0.1</v>
      </c>
    </row>
    <row r="325" spans="1:5">
      <c r="A325" s="7" t="s">
        <v>1965</v>
      </c>
      <c r="B325" s="3" t="s">
        <v>1966</v>
      </c>
      <c r="C325" s="3" t="s">
        <v>1966</v>
      </c>
      <c r="D325" s="4">
        <v>9999999</v>
      </c>
      <c r="E325" s="4">
        <v>0.1</v>
      </c>
    </row>
    <row r="326" spans="1:5">
      <c r="A326" s="7" t="s">
        <v>1967</v>
      </c>
      <c r="B326" s="3" t="s">
        <v>1968</v>
      </c>
      <c r="C326" s="3" t="s">
        <v>1968</v>
      </c>
      <c r="D326" s="4">
        <v>9999999</v>
      </c>
      <c r="E326" s="4">
        <v>0.1</v>
      </c>
    </row>
    <row r="327" spans="1:5">
      <c r="A327" s="7" t="s">
        <v>1969</v>
      </c>
      <c r="B327" s="3" t="s">
        <v>1970</v>
      </c>
      <c r="C327" s="3" t="s">
        <v>1970</v>
      </c>
      <c r="D327" s="4">
        <v>9999999</v>
      </c>
      <c r="E327" s="4">
        <v>0.1</v>
      </c>
    </row>
    <row r="328" spans="1:5">
      <c r="A328" s="7" t="s">
        <v>1971</v>
      </c>
      <c r="B328" s="3" t="s">
        <v>1972</v>
      </c>
      <c r="C328" s="3" t="s">
        <v>1972</v>
      </c>
      <c r="D328" s="4">
        <v>9999999</v>
      </c>
      <c r="E328" s="4">
        <v>0.1</v>
      </c>
    </row>
    <row r="329" spans="1:5">
      <c r="A329" s="7" t="s">
        <v>1973</v>
      </c>
      <c r="B329" s="3" t="s">
        <v>1974</v>
      </c>
      <c r="C329" s="3" t="s">
        <v>1974</v>
      </c>
      <c r="D329" s="4">
        <v>9999999</v>
      </c>
      <c r="E329" s="4">
        <v>0.1</v>
      </c>
    </row>
    <row r="330" spans="1:5">
      <c r="A330" s="7" t="s">
        <v>1975</v>
      </c>
      <c r="B330" s="3" t="s">
        <v>1976</v>
      </c>
      <c r="C330" s="3" t="s">
        <v>1976</v>
      </c>
      <c r="D330" s="4">
        <v>9999999</v>
      </c>
      <c r="E330" s="4">
        <v>0.1</v>
      </c>
    </row>
    <row r="331" spans="1:5">
      <c r="A331" s="7" t="s">
        <v>1977</v>
      </c>
      <c r="B331" s="3" t="s">
        <v>1978</v>
      </c>
      <c r="C331" s="3" t="s">
        <v>1978</v>
      </c>
      <c r="D331" s="4">
        <v>9999999</v>
      </c>
      <c r="E331" s="4">
        <v>0.1</v>
      </c>
    </row>
    <row r="332" spans="1:5">
      <c r="A332" s="7" t="s">
        <v>1979</v>
      </c>
      <c r="B332" s="3" t="s">
        <v>1980</v>
      </c>
      <c r="C332" s="3" t="s">
        <v>1980</v>
      </c>
      <c r="D332" s="4">
        <v>9999999</v>
      </c>
      <c r="E332" s="4">
        <v>0.1</v>
      </c>
    </row>
    <row r="333" spans="1:5">
      <c r="A333" s="7" t="s">
        <v>1981</v>
      </c>
      <c r="B333" s="3" t="s">
        <v>1982</v>
      </c>
      <c r="C333" s="3" t="s">
        <v>1982</v>
      </c>
      <c r="D333" s="4">
        <v>9999999</v>
      </c>
      <c r="E333" s="4">
        <v>0.1</v>
      </c>
    </row>
    <row r="334" spans="1:5">
      <c r="A334" s="7" t="s">
        <v>1983</v>
      </c>
      <c r="B334" s="3" t="s">
        <v>1984</v>
      </c>
      <c r="C334" s="3" t="s">
        <v>1984</v>
      </c>
      <c r="D334" s="4">
        <v>9999999</v>
      </c>
      <c r="E334" s="4">
        <v>0.1</v>
      </c>
    </row>
    <row r="335" spans="1:5">
      <c r="A335" s="7" t="s">
        <v>1985</v>
      </c>
      <c r="B335" s="3" t="s">
        <v>1986</v>
      </c>
      <c r="C335" s="3" t="s">
        <v>1986</v>
      </c>
      <c r="D335" s="4">
        <v>9999999</v>
      </c>
      <c r="E335" s="4">
        <v>0.1</v>
      </c>
    </row>
    <row r="336" spans="1:5">
      <c r="A336" s="7" t="s">
        <v>1987</v>
      </c>
      <c r="B336" s="3" t="s">
        <v>1988</v>
      </c>
      <c r="C336" s="3" t="s">
        <v>1988</v>
      </c>
      <c r="D336" s="4">
        <v>9999999</v>
      </c>
      <c r="E336" s="4">
        <v>0.1</v>
      </c>
    </row>
    <row r="337" spans="1:5">
      <c r="A337" s="7" t="s">
        <v>1989</v>
      </c>
      <c r="B337" s="3" t="s">
        <v>1990</v>
      </c>
      <c r="C337" s="3" t="s">
        <v>1990</v>
      </c>
      <c r="D337" s="4">
        <v>9999999</v>
      </c>
      <c r="E337" s="4">
        <v>0.1</v>
      </c>
    </row>
    <row r="338" spans="1:5">
      <c r="A338" s="7" t="s">
        <v>1991</v>
      </c>
      <c r="B338" s="3" t="s">
        <v>1992</v>
      </c>
      <c r="C338" s="3" t="s">
        <v>1992</v>
      </c>
      <c r="D338" s="4">
        <v>9999999</v>
      </c>
      <c r="E338" s="4">
        <v>0.1</v>
      </c>
    </row>
    <row r="339" spans="1:5">
      <c r="A339" s="7" t="s">
        <v>1993</v>
      </c>
      <c r="B339" s="3" t="s">
        <v>1994</v>
      </c>
      <c r="C339" s="3" t="s">
        <v>1994</v>
      </c>
      <c r="D339" s="4">
        <v>9999999</v>
      </c>
      <c r="E339" s="4">
        <v>0.1</v>
      </c>
    </row>
    <row r="340" spans="1:5">
      <c r="A340" s="7" t="s">
        <v>1995</v>
      </c>
      <c r="B340" s="3" t="s">
        <v>1996</v>
      </c>
      <c r="C340" s="3" t="s">
        <v>1996</v>
      </c>
      <c r="D340" s="4">
        <v>9999999</v>
      </c>
      <c r="E340" s="4">
        <v>0.1</v>
      </c>
    </row>
    <row r="341" spans="1:5">
      <c r="A341" s="7" t="s">
        <v>1997</v>
      </c>
      <c r="B341" s="3" t="s">
        <v>1998</v>
      </c>
      <c r="C341" s="3" t="s">
        <v>1998</v>
      </c>
      <c r="D341" s="4">
        <v>9999999</v>
      </c>
      <c r="E341" s="4">
        <v>0.1</v>
      </c>
    </row>
    <row r="342" spans="1:5">
      <c r="A342" s="7" t="s">
        <v>1999</v>
      </c>
      <c r="B342" s="3" t="s">
        <v>2000</v>
      </c>
      <c r="C342" s="3" t="s">
        <v>2000</v>
      </c>
      <c r="D342" s="4">
        <v>9999999</v>
      </c>
      <c r="E342" s="4">
        <v>0.1</v>
      </c>
    </row>
    <row r="343" spans="1:5">
      <c r="A343" s="7" t="s">
        <v>2001</v>
      </c>
      <c r="B343" s="3" t="s">
        <v>2002</v>
      </c>
      <c r="C343" s="3" t="s">
        <v>2002</v>
      </c>
      <c r="D343" s="4">
        <v>9999999</v>
      </c>
      <c r="E343" s="4">
        <v>0.1</v>
      </c>
    </row>
    <row r="344" spans="1:5">
      <c r="A344" s="7" t="s">
        <v>2003</v>
      </c>
      <c r="B344" s="3" t="s">
        <v>2004</v>
      </c>
      <c r="C344" s="3" t="s">
        <v>2004</v>
      </c>
      <c r="D344" s="4">
        <v>9999999</v>
      </c>
      <c r="E344" s="4">
        <v>0.1</v>
      </c>
    </row>
    <row r="345" spans="1:5">
      <c r="A345" s="7" t="s">
        <v>2005</v>
      </c>
      <c r="B345" s="3" t="s">
        <v>2006</v>
      </c>
      <c r="C345" s="3" t="s">
        <v>2006</v>
      </c>
      <c r="D345" s="4">
        <v>9999999</v>
      </c>
      <c r="E345" s="4">
        <v>0.1</v>
      </c>
    </row>
    <row r="346" spans="1:5">
      <c r="A346" s="7" t="s">
        <v>2007</v>
      </c>
      <c r="B346" s="3" t="s">
        <v>2008</v>
      </c>
      <c r="C346" s="3" t="s">
        <v>2008</v>
      </c>
      <c r="D346" s="4">
        <v>9999999</v>
      </c>
      <c r="E346" s="4">
        <v>0.1</v>
      </c>
    </row>
    <row r="347" spans="1:5">
      <c r="A347" s="7" t="s">
        <v>2009</v>
      </c>
      <c r="B347" s="3" t="s">
        <v>2010</v>
      </c>
      <c r="C347" s="3" t="s">
        <v>2010</v>
      </c>
      <c r="D347" s="4">
        <v>9999999</v>
      </c>
      <c r="E347" s="4">
        <v>0.1</v>
      </c>
    </row>
    <row r="348" spans="1:5">
      <c r="A348" s="7" t="s">
        <v>2011</v>
      </c>
      <c r="B348" s="3" t="s">
        <v>2012</v>
      </c>
      <c r="C348" s="3" t="s">
        <v>2012</v>
      </c>
      <c r="D348" s="4">
        <v>9999999</v>
      </c>
      <c r="E348" s="4">
        <v>0.1</v>
      </c>
    </row>
    <row r="349" spans="1:5">
      <c r="A349" s="7" t="s">
        <v>2013</v>
      </c>
      <c r="B349" s="3" t="s">
        <v>2014</v>
      </c>
      <c r="C349" s="3" t="s">
        <v>2014</v>
      </c>
      <c r="D349" s="4">
        <v>9999999</v>
      </c>
      <c r="E349" s="4">
        <v>0.1</v>
      </c>
    </row>
    <row r="350" spans="1:5">
      <c r="A350" s="7" t="s">
        <v>2015</v>
      </c>
      <c r="B350" s="3" t="s">
        <v>2016</v>
      </c>
      <c r="C350" s="3" t="s">
        <v>2016</v>
      </c>
      <c r="D350" s="4">
        <v>9999999</v>
      </c>
      <c r="E350" s="4">
        <v>0.1</v>
      </c>
    </row>
    <row r="351" spans="1:5">
      <c r="A351" s="7" t="s">
        <v>2017</v>
      </c>
      <c r="B351" s="3" t="s">
        <v>2018</v>
      </c>
      <c r="C351" s="3" t="s">
        <v>2018</v>
      </c>
      <c r="D351" s="4">
        <v>9999999</v>
      </c>
      <c r="E351" s="4">
        <v>0.1</v>
      </c>
    </row>
    <row r="352" spans="1:5">
      <c r="A352" s="7" t="s">
        <v>2019</v>
      </c>
      <c r="B352" s="3" t="s">
        <v>2020</v>
      </c>
      <c r="C352" s="3" t="s">
        <v>2020</v>
      </c>
      <c r="D352" s="4">
        <v>9999999</v>
      </c>
      <c r="E352" s="4">
        <v>0.1</v>
      </c>
    </row>
    <row r="353" spans="1:5">
      <c r="A353" s="7" t="s">
        <v>2021</v>
      </c>
      <c r="B353" s="3" t="s">
        <v>2022</v>
      </c>
      <c r="C353" s="3" t="s">
        <v>2022</v>
      </c>
      <c r="D353" s="4">
        <v>9999999</v>
      </c>
      <c r="E353" s="4">
        <v>0.1</v>
      </c>
    </row>
    <row r="354" spans="1:5">
      <c r="A354" s="7" t="s">
        <v>2023</v>
      </c>
      <c r="B354" s="3" t="s">
        <v>2024</v>
      </c>
      <c r="C354" s="3" t="s">
        <v>2024</v>
      </c>
      <c r="D354" s="4">
        <v>9999999</v>
      </c>
      <c r="E354" s="4">
        <v>0.1</v>
      </c>
    </row>
    <row r="355" spans="1:5">
      <c r="A355" s="7" t="s">
        <v>2025</v>
      </c>
      <c r="B355" s="3" t="s">
        <v>2026</v>
      </c>
      <c r="C355" s="3" t="s">
        <v>2026</v>
      </c>
      <c r="D355" s="4">
        <v>9999999</v>
      </c>
      <c r="E355" s="4">
        <v>0.1</v>
      </c>
    </row>
    <row r="356" spans="1:5">
      <c r="A356" s="7" t="s">
        <v>2027</v>
      </c>
      <c r="B356" s="3" t="s">
        <v>2028</v>
      </c>
      <c r="C356" s="3" t="s">
        <v>2028</v>
      </c>
      <c r="D356" s="4">
        <v>9999999</v>
      </c>
      <c r="E356" s="4">
        <v>0.1</v>
      </c>
    </row>
    <row r="357" spans="1:5">
      <c r="A357" s="7" t="s">
        <v>2029</v>
      </c>
      <c r="B357" s="3" t="s">
        <v>2030</v>
      </c>
      <c r="C357" s="3" t="s">
        <v>2030</v>
      </c>
      <c r="D357" s="4">
        <v>9999999</v>
      </c>
      <c r="E357" s="4">
        <v>0.1</v>
      </c>
    </row>
    <row r="358" spans="1:5">
      <c r="A358" s="7" t="s">
        <v>2031</v>
      </c>
      <c r="B358" s="3" t="s">
        <v>2032</v>
      </c>
      <c r="C358" s="3" t="s">
        <v>2032</v>
      </c>
      <c r="D358" s="4">
        <v>9999999</v>
      </c>
      <c r="E358" s="4">
        <v>0.1</v>
      </c>
    </row>
    <row r="359" spans="1:5">
      <c r="A359" s="7" t="s">
        <v>2033</v>
      </c>
      <c r="B359" s="3" t="s">
        <v>2034</v>
      </c>
      <c r="C359" s="3" t="s">
        <v>2034</v>
      </c>
      <c r="D359" s="4">
        <v>9999999</v>
      </c>
      <c r="E359" s="4">
        <v>0.1</v>
      </c>
    </row>
    <row r="360" spans="1:5">
      <c r="A360" s="7" t="s">
        <v>2035</v>
      </c>
      <c r="B360" s="3" t="s">
        <v>2036</v>
      </c>
      <c r="C360" s="3" t="s">
        <v>2036</v>
      </c>
      <c r="D360" s="4">
        <v>9999999</v>
      </c>
      <c r="E360" s="4">
        <v>0.1</v>
      </c>
    </row>
    <row r="361" spans="1:5">
      <c r="A361" s="7" t="s">
        <v>2037</v>
      </c>
      <c r="B361" s="3" t="s">
        <v>2038</v>
      </c>
      <c r="C361" s="3" t="s">
        <v>2038</v>
      </c>
      <c r="D361" s="4">
        <v>9999999</v>
      </c>
      <c r="E361" s="4">
        <v>0.1</v>
      </c>
    </row>
    <row r="362" spans="1:5">
      <c r="A362" s="7" t="s">
        <v>2039</v>
      </c>
      <c r="B362" s="3" t="s">
        <v>2040</v>
      </c>
      <c r="C362" s="3" t="s">
        <v>2040</v>
      </c>
      <c r="D362" s="4">
        <v>9999999</v>
      </c>
      <c r="E362" s="4">
        <v>0.1</v>
      </c>
    </row>
    <row r="363" spans="1:5">
      <c r="A363" s="7" t="s">
        <v>2041</v>
      </c>
      <c r="B363" s="3" t="s">
        <v>2042</v>
      </c>
      <c r="C363" s="3" t="s">
        <v>2042</v>
      </c>
      <c r="D363" s="4">
        <v>9999999</v>
      </c>
      <c r="E363" s="4">
        <v>0.1</v>
      </c>
    </row>
    <row r="364" spans="1:5">
      <c r="A364" s="7" t="s">
        <v>2043</v>
      </c>
      <c r="B364" s="3" t="s">
        <v>2044</v>
      </c>
      <c r="C364" s="3" t="s">
        <v>2044</v>
      </c>
      <c r="D364" s="4">
        <v>9999999</v>
      </c>
      <c r="E364" s="4">
        <v>0.1</v>
      </c>
    </row>
    <row r="365" spans="1:5">
      <c r="A365" s="7" t="s">
        <v>2045</v>
      </c>
      <c r="B365" s="3" t="s">
        <v>2046</v>
      </c>
      <c r="C365" s="3" t="s">
        <v>2046</v>
      </c>
      <c r="D365" s="4">
        <v>9999999</v>
      </c>
      <c r="E365" s="4">
        <v>0.1</v>
      </c>
    </row>
    <row r="366" spans="1:5">
      <c r="A366" s="7" t="s">
        <v>2047</v>
      </c>
      <c r="B366" s="3" t="s">
        <v>2048</v>
      </c>
      <c r="C366" s="3" t="s">
        <v>2048</v>
      </c>
      <c r="D366" s="4">
        <v>9999999</v>
      </c>
      <c r="E366" s="4">
        <v>0.1</v>
      </c>
    </row>
    <row r="367" spans="1:5">
      <c r="A367" s="7" t="s">
        <v>2049</v>
      </c>
      <c r="B367" s="3" t="s">
        <v>2050</v>
      </c>
      <c r="C367" s="3" t="s">
        <v>2050</v>
      </c>
      <c r="D367" s="4">
        <v>9999999</v>
      </c>
      <c r="E367" s="4">
        <v>0.1</v>
      </c>
    </row>
    <row r="368" spans="1:5">
      <c r="A368" s="7" t="s">
        <v>2051</v>
      </c>
      <c r="B368" s="3" t="s">
        <v>2052</v>
      </c>
      <c r="C368" s="3" t="s">
        <v>2052</v>
      </c>
      <c r="D368" s="4">
        <v>9999999</v>
      </c>
      <c r="E368" s="4">
        <v>0.1</v>
      </c>
    </row>
    <row r="369" spans="1:5">
      <c r="A369" s="7" t="s">
        <v>2053</v>
      </c>
      <c r="B369" s="3" t="s">
        <v>2054</v>
      </c>
      <c r="C369" s="3" t="s">
        <v>2054</v>
      </c>
      <c r="D369" s="4">
        <v>9999999</v>
      </c>
      <c r="E369" s="4">
        <v>0.1</v>
      </c>
    </row>
    <row r="370" spans="1:5">
      <c r="A370" s="7" t="s">
        <v>2055</v>
      </c>
      <c r="B370" s="3" t="s">
        <v>2056</v>
      </c>
      <c r="C370" s="3" t="s">
        <v>2056</v>
      </c>
      <c r="D370" s="4">
        <v>9999999</v>
      </c>
      <c r="E370" s="4">
        <v>0.1</v>
      </c>
    </row>
    <row r="371" spans="1:5">
      <c r="A371" s="7" t="s">
        <v>2057</v>
      </c>
      <c r="B371" s="3" t="s">
        <v>2058</v>
      </c>
      <c r="C371" s="3" t="s">
        <v>2058</v>
      </c>
      <c r="D371" s="4">
        <v>9999999</v>
      </c>
      <c r="E371" s="4">
        <v>0.1</v>
      </c>
    </row>
    <row r="372" spans="1:5">
      <c r="A372" s="7" t="s">
        <v>2059</v>
      </c>
      <c r="B372" s="3" t="s">
        <v>2060</v>
      </c>
      <c r="C372" s="3" t="s">
        <v>2060</v>
      </c>
      <c r="D372" s="4">
        <v>9999999</v>
      </c>
      <c r="E372" s="4">
        <v>0.1</v>
      </c>
    </row>
    <row r="373" spans="1:5">
      <c r="A373" s="7" t="s">
        <v>2061</v>
      </c>
      <c r="B373" s="3" t="s">
        <v>2062</v>
      </c>
      <c r="C373" s="3" t="s">
        <v>2062</v>
      </c>
      <c r="D373" s="4">
        <v>9999999</v>
      </c>
      <c r="E373" s="4">
        <v>0.1</v>
      </c>
    </row>
    <row r="374" spans="1:5">
      <c r="A374" s="7" t="s">
        <v>2063</v>
      </c>
      <c r="B374" s="3" t="s">
        <v>2064</v>
      </c>
      <c r="C374" s="3" t="s">
        <v>2064</v>
      </c>
      <c r="D374" s="4">
        <v>9999999</v>
      </c>
      <c r="E374" s="4">
        <v>0.1</v>
      </c>
    </row>
    <row r="375" spans="1:5">
      <c r="A375" s="7" t="s">
        <v>2065</v>
      </c>
      <c r="B375" s="3" t="s">
        <v>2066</v>
      </c>
      <c r="C375" s="3" t="s">
        <v>2066</v>
      </c>
      <c r="D375" s="4">
        <v>9999999</v>
      </c>
      <c r="E375" s="4">
        <v>0.1</v>
      </c>
    </row>
    <row r="376" spans="1:5">
      <c r="A376" s="7" t="s">
        <v>2067</v>
      </c>
      <c r="B376" s="3" t="s">
        <v>2068</v>
      </c>
      <c r="C376" s="3" t="s">
        <v>2068</v>
      </c>
      <c r="D376" s="4">
        <v>9999999</v>
      </c>
      <c r="E376" s="4">
        <v>0.1</v>
      </c>
    </row>
    <row r="377" spans="1:5">
      <c r="A377" s="7" t="s">
        <v>485</v>
      </c>
      <c r="B377" s="3" t="s">
        <v>2069</v>
      </c>
      <c r="C377" s="3" t="s">
        <v>2069</v>
      </c>
      <c r="D377" s="4">
        <v>9999999</v>
      </c>
      <c r="E377" s="4">
        <v>0.1</v>
      </c>
    </row>
    <row r="378" spans="1:5">
      <c r="A378" s="7" t="s">
        <v>2070</v>
      </c>
      <c r="B378" s="3" t="s">
        <v>2071</v>
      </c>
      <c r="C378" s="3" t="s">
        <v>2071</v>
      </c>
      <c r="D378" s="4">
        <v>9999999</v>
      </c>
      <c r="E378" s="4">
        <v>0.1</v>
      </c>
    </row>
    <row r="379" spans="1:5">
      <c r="A379" s="7" t="s">
        <v>2072</v>
      </c>
      <c r="B379" s="3" t="s">
        <v>2073</v>
      </c>
      <c r="C379" s="3" t="s">
        <v>2073</v>
      </c>
      <c r="D379" s="4">
        <v>9999999</v>
      </c>
      <c r="E379" s="4">
        <v>0.1</v>
      </c>
    </row>
    <row r="380" spans="1:5">
      <c r="A380" s="7" t="s">
        <v>2074</v>
      </c>
      <c r="B380" s="3" t="s">
        <v>2075</v>
      </c>
      <c r="C380" s="3" t="s">
        <v>2075</v>
      </c>
      <c r="D380" s="4">
        <v>9999999</v>
      </c>
      <c r="E380" s="4">
        <v>0.1</v>
      </c>
    </row>
    <row r="381" spans="1:5">
      <c r="A381" s="7" t="s">
        <v>2076</v>
      </c>
      <c r="B381" s="3" t="s">
        <v>2077</v>
      </c>
      <c r="C381" s="3" t="s">
        <v>2077</v>
      </c>
      <c r="D381" s="4">
        <v>9999999</v>
      </c>
      <c r="E381" s="4">
        <v>0.1</v>
      </c>
    </row>
    <row r="382" spans="1:5">
      <c r="A382" s="7" t="s">
        <v>2078</v>
      </c>
      <c r="B382" s="3" t="s">
        <v>2079</v>
      </c>
      <c r="C382" s="3" t="s">
        <v>2079</v>
      </c>
      <c r="D382" s="4">
        <v>9999999</v>
      </c>
      <c r="E382" s="4">
        <v>0.1</v>
      </c>
    </row>
    <row r="383" spans="1:5">
      <c r="A383" s="7" t="s">
        <v>2080</v>
      </c>
      <c r="B383" s="3" t="s">
        <v>2081</v>
      </c>
      <c r="C383" s="3" t="s">
        <v>2081</v>
      </c>
      <c r="D383" s="4">
        <v>9999999</v>
      </c>
      <c r="E383" s="4">
        <v>0.1</v>
      </c>
    </row>
    <row r="384" spans="1:5">
      <c r="A384" s="7" t="s">
        <v>2082</v>
      </c>
      <c r="B384" s="3" t="s">
        <v>2083</v>
      </c>
      <c r="C384" s="3" t="s">
        <v>2083</v>
      </c>
      <c r="D384" s="4">
        <v>9999999</v>
      </c>
      <c r="E384" s="4">
        <v>0.1</v>
      </c>
    </row>
    <row r="385" spans="1:5">
      <c r="A385" s="7" t="s">
        <v>2084</v>
      </c>
      <c r="B385" s="3" t="s">
        <v>2085</v>
      </c>
      <c r="C385" s="3" t="s">
        <v>2085</v>
      </c>
      <c r="D385" s="4">
        <v>9999999</v>
      </c>
      <c r="E385" s="4">
        <v>0.1</v>
      </c>
    </row>
    <row r="386" spans="1:5">
      <c r="A386" s="7" t="s">
        <v>2086</v>
      </c>
      <c r="B386" s="3" t="s">
        <v>2087</v>
      </c>
      <c r="C386" s="3" t="s">
        <v>2087</v>
      </c>
      <c r="D386" s="4">
        <v>9999999</v>
      </c>
      <c r="E386" s="4">
        <v>0.1</v>
      </c>
    </row>
    <row r="387" spans="1:5">
      <c r="A387" s="7" t="s">
        <v>2088</v>
      </c>
      <c r="B387" s="3" t="s">
        <v>2089</v>
      </c>
      <c r="C387" s="3" t="s">
        <v>2089</v>
      </c>
      <c r="D387" s="4">
        <v>9999999</v>
      </c>
      <c r="E387" s="4">
        <v>0.1</v>
      </c>
    </row>
    <row r="388" spans="1:5">
      <c r="A388" s="7" t="s">
        <v>2090</v>
      </c>
      <c r="B388" s="3" t="s">
        <v>2091</v>
      </c>
      <c r="C388" s="3" t="s">
        <v>2091</v>
      </c>
      <c r="D388" s="4">
        <v>9999999</v>
      </c>
      <c r="E388" s="4">
        <v>0.1</v>
      </c>
    </row>
    <row r="389" spans="1:5">
      <c r="A389" s="7" t="s">
        <v>240</v>
      </c>
      <c r="B389" s="3" t="s">
        <v>2092</v>
      </c>
      <c r="C389" s="3" t="s">
        <v>2092</v>
      </c>
      <c r="D389" s="4">
        <v>9999999</v>
      </c>
      <c r="E389" s="4">
        <v>0.1</v>
      </c>
    </row>
    <row r="390" spans="1:5">
      <c r="A390" s="7" t="s">
        <v>2093</v>
      </c>
      <c r="B390" s="3" t="s">
        <v>2094</v>
      </c>
      <c r="C390" s="3" t="s">
        <v>2094</v>
      </c>
      <c r="D390" s="4">
        <v>9999999</v>
      </c>
      <c r="E390" s="4">
        <v>0.1</v>
      </c>
    </row>
    <row r="391" spans="1:5">
      <c r="A391" s="7" t="s">
        <v>2095</v>
      </c>
      <c r="B391" s="3" t="s">
        <v>2096</v>
      </c>
      <c r="C391" s="3" t="s">
        <v>2096</v>
      </c>
      <c r="D391" s="4">
        <v>9999999</v>
      </c>
      <c r="E391" s="4">
        <v>0.1</v>
      </c>
    </row>
    <row r="392" spans="1:5">
      <c r="A392" s="7" t="s">
        <v>2097</v>
      </c>
      <c r="B392" s="3" t="s">
        <v>2098</v>
      </c>
      <c r="C392" s="3" t="s">
        <v>2098</v>
      </c>
      <c r="D392" s="4">
        <v>9999999</v>
      </c>
      <c r="E392" s="4">
        <v>0.1</v>
      </c>
    </row>
    <row r="393" spans="1:5">
      <c r="A393" s="7" t="s">
        <v>2099</v>
      </c>
      <c r="B393" s="3" t="s">
        <v>2100</v>
      </c>
      <c r="C393" s="3" t="s">
        <v>2100</v>
      </c>
      <c r="D393" s="4">
        <v>9999999</v>
      </c>
      <c r="E393" s="4">
        <v>0.1</v>
      </c>
    </row>
    <row r="394" spans="1:5">
      <c r="A394" s="7" t="s">
        <v>2101</v>
      </c>
      <c r="B394" s="3" t="s">
        <v>2102</v>
      </c>
      <c r="C394" s="3" t="s">
        <v>2102</v>
      </c>
      <c r="D394" s="4">
        <v>9999999</v>
      </c>
      <c r="E394" s="4">
        <v>0.1</v>
      </c>
    </row>
    <row r="395" spans="1:5">
      <c r="A395" s="7" t="s">
        <v>2103</v>
      </c>
      <c r="B395" s="3" t="s">
        <v>2104</v>
      </c>
      <c r="C395" s="3" t="s">
        <v>2104</v>
      </c>
      <c r="D395" s="4">
        <v>9999999</v>
      </c>
      <c r="E395" s="4">
        <v>0.1</v>
      </c>
    </row>
    <row r="396" spans="1:5">
      <c r="A396" s="7" t="s">
        <v>2105</v>
      </c>
      <c r="B396" s="3" t="s">
        <v>2106</v>
      </c>
      <c r="C396" s="3" t="s">
        <v>2106</v>
      </c>
      <c r="D396" s="4">
        <v>9999999</v>
      </c>
      <c r="E396" s="4">
        <v>0.1</v>
      </c>
    </row>
    <row r="397" spans="1:5">
      <c r="A397" s="7" t="s">
        <v>2107</v>
      </c>
      <c r="B397" s="3" t="s">
        <v>2108</v>
      </c>
      <c r="C397" s="3" t="s">
        <v>2108</v>
      </c>
      <c r="D397" s="4">
        <v>9999999</v>
      </c>
      <c r="E397" s="4">
        <v>0.1</v>
      </c>
    </row>
    <row r="398" spans="1:5">
      <c r="A398" s="7" t="s">
        <v>2109</v>
      </c>
      <c r="B398" s="3" t="s">
        <v>2110</v>
      </c>
      <c r="C398" s="3" t="s">
        <v>2110</v>
      </c>
      <c r="D398" s="4">
        <v>9999999</v>
      </c>
      <c r="E398" s="4">
        <v>0.1</v>
      </c>
    </row>
    <row r="399" spans="1:5">
      <c r="A399" s="7" t="s">
        <v>2111</v>
      </c>
      <c r="B399" s="3" t="s">
        <v>2112</v>
      </c>
      <c r="C399" s="3" t="s">
        <v>2112</v>
      </c>
      <c r="D399" s="4">
        <v>9999999</v>
      </c>
      <c r="E399" s="4">
        <v>0.1</v>
      </c>
    </row>
    <row r="400" spans="1:5">
      <c r="A400" s="7" t="s">
        <v>2113</v>
      </c>
      <c r="B400" s="3" t="s">
        <v>2114</v>
      </c>
      <c r="C400" s="3" t="s">
        <v>2114</v>
      </c>
      <c r="D400" s="4">
        <v>9999999</v>
      </c>
      <c r="E400" s="4">
        <v>0.1</v>
      </c>
    </row>
    <row r="401" spans="1:5">
      <c r="A401" s="7" t="s">
        <v>2115</v>
      </c>
      <c r="B401" s="3" t="s">
        <v>2116</v>
      </c>
      <c r="C401" s="3" t="s">
        <v>2116</v>
      </c>
      <c r="D401" s="4">
        <v>9999999</v>
      </c>
      <c r="E401" s="4">
        <v>0.1</v>
      </c>
    </row>
    <row r="402" spans="1:5">
      <c r="A402" s="7" t="s">
        <v>2117</v>
      </c>
      <c r="B402" s="3" t="s">
        <v>2118</v>
      </c>
      <c r="C402" s="3" t="s">
        <v>2118</v>
      </c>
      <c r="D402" s="4">
        <v>9999999</v>
      </c>
      <c r="E402" s="4">
        <v>0.1</v>
      </c>
    </row>
    <row r="403" spans="1:5">
      <c r="A403" s="7" t="s">
        <v>2119</v>
      </c>
      <c r="B403" s="3" t="s">
        <v>2120</v>
      </c>
      <c r="C403" s="3" t="s">
        <v>2120</v>
      </c>
      <c r="D403" s="4">
        <v>9999999</v>
      </c>
      <c r="E403" s="4">
        <v>0.1</v>
      </c>
    </row>
    <row r="404" spans="1:5">
      <c r="A404" s="7" t="s">
        <v>2121</v>
      </c>
      <c r="B404" s="3" t="s">
        <v>2122</v>
      </c>
      <c r="C404" s="3" t="s">
        <v>2122</v>
      </c>
      <c r="D404" s="4">
        <v>9999999</v>
      </c>
      <c r="E404" s="4">
        <v>0.1</v>
      </c>
    </row>
    <row r="405" spans="1:5">
      <c r="A405" s="7" t="s">
        <v>2123</v>
      </c>
      <c r="B405" s="3" t="s">
        <v>2124</v>
      </c>
      <c r="C405" s="3" t="s">
        <v>2124</v>
      </c>
      <c r="D405" s="4">
        <v>9999999</v>
      </c>
      <c r="E405" s="4">
        <v>0.1</v>
      </c>
    </row>
    <row r="406" spans="1:5">
      <c r="A406" s="7" t="s">
        <v>2125</v>
      </c>
      <c r="B406" s="3" t="s">
        <v>2126</v>
      </c>
      <c r="C406" s="3" t="s">
        <v>2126</v>
      </c>
      <c r="D406" s="4">
        <v>9999999</v>
      </c>
      <c r="E406" s="4">
        <v>0.1</v>
      </c>
    </row>
    <row r="407" spans="1:5">
      <c r="A407" s="7" t="s">
        <v>2127</v>
      </c>
      <c r="B407" s="3" t="s">
        <v>2128</v>
      </c>
      <c r="C407" s="3" t="s">
        <v>2128</v>
      </c>
      <c r="D407" s="4">
        <v>9999999</v>
      </c>
      <c r="E407" s="4">
        <v>0.1</v>
      </c>
    </row>
    <row r="408" spans="1:5">
      <c r="A408" s="7" t="s">
        <v>2129</v>
      </c>
      <c r="B408" s="3" t="s">
        <v>2130</v>
      </c>
      <c r="C408" s="3" t="s">
        <v>2130</v>
      </c>
      <c r="D408" s="4">
        <v>9999999</v>
      </c>
      <c r="E408" s="4">
        <v>0.1</v>
      </c>
    </row>
    <row r="409" spans="1:5">
      <c r="A409" s="7" t="s">
        <v>2131</v>
      </c>
      <c r="B409" s="3" t="s">
        <v>2132</v>
      </c>
      <c r="C409" s="3" t="s">
        <v>2132</v>
      </c>
      <c r="D409" s="4">
        <v>9999999</v>
      </c>
      <c r="E409" s="4">
        <v>0.1</v>
      </c>
    </row>
    <row r="410" spans="1:5">
      <c r="A410" s="7" t="s">
        <v>2133</v>
      </c>
      <c r="B410" s="3" t="s">
        <v>2134</v>
      </c>
      <c r="C410" s="3" t="s">
        <v>2134</v>
      </c>
      <c r="D410" s="4">
        <v>9999999</v>
      </c>
      <c r="E410" s="4">
        <v>0.1</v>
      </c>
    </row>
    <row r="411" spans="1:5">
      <c r="A411" s="7" t="s">
        <v>2135</v>
      </c>
      <c r="B411" s="3" t="s">
        <v>2136</v>
      </c>
      <c r="C411" s="3" t="s">
        <v>2136</v>
      </c>
      <c r="D411" s="4">
        <v>9999999</v>
      </c>
      <c r="E411" s="4">
        <v>0.1</v>
      </c>
    </row>
    <row r="412" spans="1:5">
      <c r="A412" s="7" t="s">
        <v>2137</v>
      </c>
      <c r="B412" s="3" t="s">
        <v>2138</v>
      </c>
      <c r="C412" s="3" t="s">
        <v>2138</v>
      </c>
      <c r="D412" s="4">
        <v>9999999</v>
      </c>
      <c r="E412" s="4">
        <v>0.1</v>
      </c>
    </row>
    <row r="413" spans="1:5">
      <c r="A413" s="7" t="s">
        <v>2139</v>
      </c>
      <c r="B413" s="3" t="s">
        <v>2140</v>
      </c>
      <c r="C413" s="3" t="s">
        <v>2140</v>
      </c>
      <c r="D413" s="4">
        <v>9999999</v>
      </c>
      <c r="E413" s="4">
        <v>0.1</v>
      </c>
    </row>
    <row r="414" spans="1:5">
      <c r="A414" s="7" t="s">
        <v>2141</v>
      </c>
      <c r="B414" s="3" t="s">
        <v>2142</v>
      </c>
      <c r="C414" s="3" t="s">
        <v>2142</v>
      </c>
      <c r="D414" s="4">
        <v>9999999</v>
      </c>
      <c r="E414" s="4">
        <v>0.1</v>
      </c>
    </row>
    <row r="415" spans="1:5">
      <c r="A415" s="7" t="s">
        <v>2143</v>
      </c>
      <c r="B415" s="3" t="s">
        <v>2144</v>
      </c>
      <c r="C415" s="3" t="s">
        <v>2144</v>
      </c>
      <c r="D415" s="4">
        <v>9999999</v>
      </c>
      <c r="E415" s="4">
        <v>0.1</v>
      </c>
    </row>
    <row r="416" spans="1:5">
      <c r="A416" s="7" t="s">
        <v>2145</v>
      </c>
      <c r="B416" s="3" t="s">
        <v>2146</v>
      </c>
      <c r="C416" s="3" t="s">
        <v>2146</v>
      </c>
      <c r="D416" s="4">
        <v>9999999</v>
      </c>
      <c r="E416" s="4">
        <v>0.1</v>
      </c>
    </row>
    <row r="417" spans="1:5">
      <c r="A417" s="7" t="s">
        <v>2147</v>
      </c>
      <c r="B417" s="3" t="s">
        <v>2148</v>
      </c>
      <c r="C417" s="3" t="s">
        <v>2148</v>
      </c>
      <c r="D417" s="4">
        <v>9999999</v>
      </c>
      <c r="E417" s="4">
        <v>0.1</v>
      </c>
    </row>
    <row r="418" spans="1:5">
      <c r="A418" s="7" t="s">
        <v>2149</v>
      </c>
      <c r="B418" s="3" t="s">
        <v>2150</v>
      </c>
      <c r="C418" s="3" t="s">
        <v>2150</v>
      </c>
      <c r="D418" s="4">
        <v>9999999</v>
      </c>
      <c r="E418" s="4">
        <v>0.1</v>
      </c>
    </row>
    <row r="419" spans="1:5">
      <c r="A419" s="7" t="s">
        <v>2151</v>
      </c>
      <c r="B419" s="3" t="s">
        <v>2152</v>
      </c>
      <c r="C419" s="3" t="s">
        <v>2152</v>
      </c>
      <c r="D419" s="4">
        <v>9999999</v>
      </c>
      <c r="E419" s="4">
        <v>0.1</v>
      </c>
    </row>
    <row r="420" spans="1:5">
      <c r="A420" s="7" t="s">
        <v>2153</v>
      </c>
      <c r="B420" s="3" t="s">
        <v>2154</v>
      </c>
      <c r="C420" s="3" t="s">
        <v>2154</v>
      </c>
      <c r="D420" s="4">
        <v>9999999</v>
      </c>
      <c r="E420" s="4">
        <v>0.1</v>
      </c>
    </row>
    <row r="421" spans="1:5">
      <c r="A421" s="7" t="s">
        <v>2155</v>
      </c>
      <c r="B421" s="3" t="s">
        <v>2156</v>
      </c>
      <c r="C421" s="3" t="s">
        <v>2156</v>
      </c>
      <c r="D421" s="4">
        <v>9999999</v>
      </c>
      <c r="E421" s="4">
        <v>0.1</v>
      </c>
    </row>
    <row r="422" spans="1:5">
      <c r="A422" s="7" t="s">
        <v>2015</v>
      </c>
      <c r="B422" s="3" t="s">
        <v>2157</v>
      </c>
      <c r="C422" s="3" t="s">
        <v>2157</v>
      </c>
      <c r="D422" s="4">
        <v>9999999</v>
      </c>
      <c r="E422" s="4">
        <v>0.1</v>
      </c>
    </row>
    <row r="423" spans="1:5">
      <c r="A423" s="7" t="s">
        <v>2158</v>
      </c>
      <c r="B423" s="3" t="s">
        <v>2159</v>
      </c>
      <c r="C423" s="3" t="s">
        <v>2159</v>
      </c>
      <c r="D423" s="4">
        <v>9999999</v>
      </c>
      <c r="E423" s="4">
        <v>0.1</v>
      </c>
    </row>
  </sheetData>
  <autoFilter ref="A1:E423" xr:uid="{24C6FB5E-F247-4A9C-A910-3AFA2323782E}"/>
  <phoneticPr fontId="2" type="noConversion"/>
  <conditionalFormatting sqref="A1">
    <cfRule type="duplicateValues" dxfId="3" priority="60"/>
  </conditionalFormatting>
  <conditionalFormatting sqref="B339:B423 B1">
    <cfRule type="duplicateValues" dxfId="2" priority="61"/>
  </conditionalFormatting>
  <conditionalFormatting sqref="C1">
    <cfRule type="duplicateValues" dxfId="1" priority="4"/>
  </conditionalFormatting>
  <conditionalFormatting sqref="D1:E1">
    <cfRule type="duplicateValues" dxfId="0" priority="6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单支</vt:lpstr>
      <vt:lpstr>组套</vt:lpstr>
      <vt:lpstr>客户菜鸟API库存（待产品确认后再抓取）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yunny</dc:creator>
  <cp:keywords/>
  <dc:description/>
  <cp:lastModifiedBy>Vincent Li</cp:lastModifiedBy>
  <cp:revision/>
  <dcterms:created xsi:type="dcterms:W3CDTF">2025-06-12T16:36:09Z</dcterms:created>
  <dcterms:modified xsi:type="dcterms:W3CDTF">2026-04-29T03:57:21Z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7262322BB4280C9379914A6818F9CB23_41</vt:lpwstr>
  </property>
  <property fmtid="{D5CDD505-2E9C-101B-9397-08002B2CF9AE}" pid="3" name="KSOProductBuildVer">
    <vt:lpwstr>2052-6.10.1.8873</vt:lpwstr>
  </property>
  <property fmtid="{D5CDD505-2E9C-101B-9397-08002B2CF9AE}" pid="4" name="KSOReadingLayout">
    <vt:bool>true</vt:bool>
  </property>
</Properties>
</file>